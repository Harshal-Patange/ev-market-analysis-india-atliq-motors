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Win11\Desktop\Codebasics-Resume-Challenge-11-Indian-EV-Market\My Solution\"/>
    </mc:Choice>
  </mc:AlternateContent>
  <xr:revisionPtr revIDLastSave="0" documentId="13_ncr:1_{93CF70B1-1CAE-421D-9033-FABA269589E2}" xr6:coauthVersionLast="47" xr6:coauthVersionMax="47" xr10:uidLastSave="{00000000-0000-0000-0000-000000000000}"/>
  <bookViews>
    <workbookView xWindow="-110" yWindow="-110" windowWidth="19420" windowHeight="10300" xr2:uid="{61E566F0-9562-4D86-A142-9AF7E54312C1}"/>
  </bookViews>
  <sheets>
    <sheet name="Q1" sheetId="1" r:id="rId1"/>
    <sheet name="Q1.Waste" sheetId="6" state="hidden" r:id="rId2"/>
    <sheet name="Q2" sheetId="9" r:id="rId3"/>
    <sheet name="Q2.Waste" sheetId="7" state="hidden" r:id="rId4"/>
    <sheet name="Q3" sheetId="11" r:id="rId5"/>
    <sheet name="Q3.Waste" sheetId="10" state="hidden" r:id="rId6"/>
    <sheet name="Q4" sheetId="14" r:id="rId7"/>
    <sheet name="Q4.Waste" sheetId="13" state="hidden" r:id="rId8"/>
    <sheet name="Q5" sheetId="16" r:id="rId9"/>
    <sheet name="Q5.Waste" sheetId="15" state="hidden" r:id="rId10"/>
    <sheet name="Q6" sheetId="18" r:id="rId11"/>
    <sheet name="Q6.Waste" sheetId="17" state="hidden" r:id="rId12"/>
    <sheet name="Q7" sheetId="20" r:id="rId13"/>
    <sheet name="Q7.Waste" sheetId="19" state="hidden" r:id="rId14"/>
    <sheet name="Q8" sheetId="23" r:id="rId15"/>
    <sheet name="Q8.Waste" sheetId="22" state="hidden" r:id="rId16"/>
    <sheet name="Q9" sheetId="25" r:id="rId17"/>
    <sheet name="Q9.Waste" sheetId="24" state="hidden" r:id="rId18"/>
    <sheet name="Q10" sheetId="28" r:id="rId19"/>
    <sheet name="Q10.Waste" sheetId="27" state="hidden" r:id="rId20"/>
    <sheet name="DashBoard" sheetId="29" r:id="rId21"/>
    <sheet name="KPIs" sheetId="30" state="hidden" r:id="rId22"/>
    <sheet name="electric_vehicle_sales_by_state" sheetId="5" r:id="rId23"/>
    <sheet name="electric_vehicle_sales_by_maker" sheetId="4" r:id="rId24"/>
    <sheet name="dim_date" sheetId="3" r:id="rId25"/>
    <sheet name="datasets" sheetId="2" r:id="rId26"/>
  </sheets>
  <definedNames>
    <definedName name="_xlcn.WorksheetConnection_Book1dim_date1" hidden="1">dim_date[]</definedName>
    <definedName name="_xlcn.WorksheetConnection_Book1electric_vehicle_sales_by_makers1" hidden="1">electric_vehicle_sales_by_makers[]</definedName>
    <definedName name="_xlcn.WorksheetConnection_Book1electric_vehicle_sales_by_state1" hidden="1">electric_vehicle_sales_by_state[]</definedName>
    <definedName name="ExternalData_1" localSheetId="25" hidden="1">datasets!$A$1:$F$4</definedName>
    <definedName name="ExternalData_2" localSheetId="24" hidden="1">dim_date!$A$1:$C$37</definedName>
    <definedName name="ExternalData_3" localSheetId="23" hidden="1">electric_vehicle_sales_by_maker!$A$1:$D$817</definedName>
    <definedName name="ExternalData_4" localSheetId="22" hidden="1">electric_vehicle_sales_by_state!$A$1:$E$2446</definedName>
  </definedNames>
  <calcPr calcId="191029"/>
  <pivotCaches>
    <pivotCache cacheId="0" r:id="rId27"/>
    <pivotCache cacheId="1" r:id="rId28"/>
    <pivotCache cacheId="2" r:id="rId29"/>
    <pivotCache cacheId="3" r:id="rId30"/>
    <pivotCache cacheId="4" r:id="rId31"/>
    <pivotCache cacheId="5" r:id="rId3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lectric_vehicle_sales_by_state" name="electric_vehicle_sales_by_state" connection="WorksheetConnection_Book1!electric_vehicle_sales_by_state"/>
          <x15:modelTable id="electric_vehicle_sales_by_makers" name="electric_vehicle_sales_by_makers" connection="WorksheetConnection_Book1!electric_vehicle_sales_by_makers"/>
          <x15:modelTable id="dim_date" name="dim_date" connection="WorksheetConnection_Book1!dim_date"/>
        </x15:modelTables>
        <x15:modelRelationships>
          <x15:modelRelationship fromTable="electric_vehicle_sales_by_state" fromColumn="date" toTable="dim_date" toColumn="date"/>
          <x15:modelRelationship fromTable="electric_vehicle_sales_by_makers" fromColumn="date" toTable="dim_date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dim_date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E10" i="9" l="1"/>
  <c r="G8" i="1"/>
  <c r="AA85" i="30"/>
  <c r="E154" i="30"/>
  <c r="E155" i="30"/>
  <c r="E156" i="30"/>
  <c r="E157" i="30"/>
  <c r="E158" i="30"/>
  <c r="D155" i="30"/>
  <c r="D156" i="30"/>
  <c r="D157" i="30"/>
  <c r="D158" i="30"/>
  <c r="D154" i="30"/>
  <c r="AB86" i="30"/>
  <c r="AB87" i="30"/>
  <c r="AB88" i="30"/>
  <c r="AB89" i="30"/>
  <c r="AB90" i="30"/>
  <c r="AB91" i="30"/>
  <c r="AB92" i="30"/>
  <c r="AB93" i="30"/>
  <c r="AB94" i="30"/>
  <c r="AB95" i="30"/>
  <c r="AA91" i="30"/>
  <c r="AA92" i="30"/>
  <c r="AA93" i="30"/>
  <c r="AA94" i="30"/>
  <c r="AA95" i="30"/>
  <c r="AA87" i="30"/>
  <c r="AA88" i="30"/>
  <c r="AA89" i="30"/>
  <c r="AA90" i="30"/>
  <c r="AA86" i="30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I144" i="30"/>
  <c r="H144" i="30"/>
  <c r="G144" i="30"/>
  <c r="F144" i="30"/>
  <c r="D144" i="30"/>
  <c r="I143" i="30"/>
  <c r="H143" i="30"/>
  <c r="G143" i="30"/>
  <c r="F143" i="30"/>
  <c r="D143" i="30"/>
  <c r="I142" i="30"/>
  <c r="H142" i="30"/>
  <c r="G142" i="30"/>
  <c r="F142" i="30"/>
  <c r="D142" i="30"/>
  <c r="I141" i="30"/>
  <c r="H141" i="30"/>
  <c r="G141" i="30"/>
  <c r="F141" i="30"/>
  <c r="D141" i="30"/>
  <c r="I140" i="30"/>
  <c r="H140" i="30"/>
  <c r="G140" i="30"/>
  <c r="F140" i="30"/>
  <c r="D140" i="30"/>
  <c r="I139" i="30"/>
  <c r="H139" i="30"/>
  <c r="G139" i="30"/>
  <c r="F139" i="30"/>
  <c r="D139" i="30"/>
  <c r="I138" i="30"/>
  <c r="H138" i="30"/>
  <c r="G138" i="30"/>
  <c r="F138" i="30"/>
  <c r="D138" i="30"/>
  <c r="I137" i="30"/>
  <c r="H137" i="30"/>
  <c r="G137" i="30"/>
  <c r="F137" i="30"/>
  <c r="D137" i="30"/>
  <c r="I136" i="30"/>
  <c r="H136" i="30"/>
  <c r="G136" i="30"/>
  <c r="F136" i="30"/>
  <c r="D136" i="30"/>
  <c r="I135" i="30"/>
  <c r="H135" i="30"/>
  <c r="G135" i="30"/>
  <c r="F135" i="30"/>
  <c r="D135" i="30"/>
  <c r="I134" i="30"/>
  <c r="H134" i="30"/>
  <c r="G134" i="30"/>
  <c r="F134" i="30"/>
  <c r="D134" i="30"/>
  <c r="I133" i="30"/>
  <c r="H133" i="30"/>
  <c r="G133" i="30"/>
  <c r="F133" i="30"/>
  <c r="D133" i="30"/>
  <c r="I132" i="30"/>
  <c r="H132" i="30"/>
  <c r="G132" i="30"/>
  <c r="F132" i="30"/>
  <c r="D132" i="30"/>
  <c r="I131" i="30"/>
  <c r="H131" i="30"/>
  <c r="G131" i="30"/>
  <c r="F131" i="30"/>
  <c r="D131" i="30"/>
  <c r="I130" i="30"/>
  <c r="H130" i="30"/>
  <c r="G130" i="30"/>
  <c r="F130" i="30"/>
  <c r="D130" i="30"/>
  <c r="I129" i="30"/>
  <c r="H129" i="30"/>
  <c r="G129" i="30"/>
  <c r="F129" i="30"/>
  <c r="D129" i="30"/>
  <c r="I128" i="30"/>
  <c r="H128" i="30"/>
  <c r="G128" i="30"/>
  <c r="F128" i="30"/>
  <c r="D128" i="30"/>
  <c r="I127" i="30"/>
  <c r="H127" i="30"/>
  <c r="G127" i="30"/>
  <c r="F127" i="30"/>
  <c r="D127" i="30"/>
  <c r="I126" i="30"/>
  <c r="H126" i="30"/>
  <c r="G126" i="30"/>
  <c r="F126" i="30"/>
  <c r="D126" i="30"/>
  <c r="I125" i="30"/>
  <c r="H125" i="30"/>
  <c r="G125" i="30"/>
  <c r="F125" i="30"/>
  <c r="D125" i="30"/>
  <c r="I124" i="30"/>
  <c r="H124" i="30"/>
  <c r="G124" i="30"/>
  <c r="F124" i="30"/>
  <c r="D124" i="30"/>
  <c r="I123" i="30"/>
  <c r="H123" i="30"/>
  <c r="G123" i="30"/>
  <c r="F123" i="30"/>
  <c r="D123" i="30"/>
  <c r="I122" i="30"/>
  <c r="H122" i="30"/>
  <c r="G122" i="30"/>
  <c r="F122" i="30"/>
  <c r="D122" i="30"/>
  <c r="I121" i="30"/>
  <c r="H121" i="30"/>
  <c r="G121" i="30"/>
  <c r="F121" i="30"/>
  <c r="D121" i="30"/>
  <c r="I120" i="30"/>
  <c r="H120" i="30"/>
  <c r="G120" i="30"/>
  <c r="F120" i="30"/>
  <c r="D120" i="30"/>
  <c r="I119" i="30"/>
  <c r="H119" i="30"/>
  <c r="G119" i="30"/>
  <c r="F119" i="30"/>
  <c r="D119" i="30"/>
  <c r="I118" i="30"/>
  <c r="H118" i="30"/>
  <c r="G118" i="30"/>
  <c r="F118" i="30"/>
  <c r="D118" i="30"/>
  <c r="I117" i="30"/>
  <c r="H117" i="30"/>
  <c r="G117" i="30"/>
  <c r="F117" i="30"/>
  <c r="D117" i="30"/>
  <c r="I116" i="30"/>
  <c r="H116" i="30"/>
  <c r="G116" i="30"/>
  <c r="F116" i="30"/>
  <c r="D116" i="30"/>
  <c r="I115" i="30"/>
  <c r="H115" i="30"/>
  <c r="G115" i="30"/>
  <c r="F115" i="30"/>
  <c r="D115" i="30"/>
  <c r="S114" i="30"/>
  <c r="R114" i="30"/>
  <c r="I114" i="30"/>
  <c r="H114" i="30"/>
  <c r="G114" i="30"/>
  <c r="F114" i="30"/>
  <c r="D114" i="30"/>
  <c r="S113" i="30"/>
  <c r="R113" i="30"/>
  <c r="I113" i="30"/>
  <c r="H113" i="30"/>
  <c r="G113" i="30"/>
  <c r="F113" i="30"/>
  <c r="D113" i="30"/>
  <c r="S112" i="30"/>
  <c r="R112" i="30"/>
  <c r="I112" i="30"/>
  <c r="H112" i="30"/>
  <c r="G112" i="30"/>
  <c r="F112" i="30"/>
  <c r="D112" i="30"/>
  <c r="S111" i="30"/>
  <c r="R111" i="30"/>
  <c r="I111" i="30"/>
  <c r="H111" i="30"/>
  <c r="G111" i="30"/>
  <c r="F111" i="30"/>
  <c r="D111" i="30"/>
  <c r="S110" i="30"/>
  <c r="R110" i="30"/>
  <c r="I110" i="30"/>
  <c r="H110" i="30"/>
  <c r="G110" i="30"/>
  <c r="F110" i="30"/>
  <c r="D110" i="30"/>
  <c r="C93" i="30"/>
  <c r="B93" i="30"/>
  <c r="D66" i="30"/>
  <c r="L65" i="30"/>
  <c r="K65" i="30"/>
  <c r="J65" i="30"/>
  <c r="I65" i="30"/>
  <c r="F65" i="30"/>
  <c r="D65" i="30"/>
  <c r="L64" i="30"/>
  <c r="K64" i="30"/>
  <c r="J64" i="30"/>
  <c r="I64" i="30"/>
  <c r="F64" i="30"/>
  <c r="D64" i="30"/>
  <c r="L63" i="30"/>
  <c r="K63" i="30"/>
  <c r="J63" i="30"/>
  <c r="I63" i="30"/>
  <c r="F63" i="30"/>
  <c r="D63" i="30"/>
  <c r="L62" i="30"/>
  <c r="K62" i="30"/>
  <c r="J62" i="30"/>
  <c r="I62" i="30"/>
  <c r="F62" i="30"/>
  <c r="D62" i="30"/>
  <c r="L61" i="30"/>
  <c r="K61" i="30"/>
  <c r="J61" i="30"/>
  <c r="I61" i="30"/>
  <c r="F61" i="30"/>
  <c r="D61" i="30"/>
  <c r="L60" i="30"/>
  <c r="K60" i="30"/>
  <c r="J60" i="30"/>
  <c r="I60" i="30"/>
  <c r="F60" i="30"/>
  <c r="D60" i="30"/>
  <c r="L59" i="30"/>
  <c r="K59" i="30"/>
  <c r="J59" i="30"/>
  <c r="I59" i="30"/>
  <c r="F59" i="30"/>
  <c r="D59" i="30"/>
  <c r="L58" i="30"/>
  <c r="K58" i="30"/>
  <c r="J58" i="30"/>
  <c r="I58" i="30"/>
  <c r="F58" i="30"/>
  <c r="D58" i="30"/>
  <c r="L57" i="30"/>
  <c r="K57" i="30"/>
  <c r="J57" i="30"/>
  <c r="I57" i="30"/>
  <c r="F57" i="30"/>
  <c r="D57" i="30"/>
  <c r="L56" i="30"/>
  <c r="K56" i="30"/>
  <c r="J56" i="30"/>
  <c r="I56" i="30"/>
  <c r="F56" i="30"/>
  <c r="D56" i="30"/>
  <c r="L55" i="30"/>
  <c r="K55" i="30"/>
  <c r="J55" i="30"/>
  <c r="I55" i="30"/>
  <c r="F55" i="30"/>
  <c r="D55" i="30"/>
  <c r="L54" i="30"/>
  <c r="K54" i="30"/>
  <c r="J54" i="30"/>
  <c r="I54" i="30"/>
  <c r="F54" i="30"/>
  <c r="D54" i="30"/>
  <c r="L53" i="30"/>
  <c r="K53" i="30"/>
  <c r="J53" i="30"/>
  <c r="I53" i="30"/>
  <c r="F53" i="30"/>
  <c r="D53" i="30"/>
  <c r="L52" i="30"/>
  <c r="K52" i="30"/>
  <c r="J52" i="30"/>
  <c r="I52" i="30"/>
  <c r="F52" i="30"/>
  <c r="D52" i="30"/>
  <c r="L51" i="30"/>
  <c r="K51" i="30"/>
  <c r="J51" i="30"/>
  <c r="I51" i="30"/>
  <c r="F51" i="30"/>
  <c r="D51" i="30"/>
  <c r="L50" i="30"/>
  <c r="K50" i="30"/>
  <c r="J50" i="30"/>
  <c r="I50" i="30"/>
  <c r="F50" i="30"/>
  <c r="D50" i="30"/>
  <c r="L49" i="30"/>
  <c r="K49" i="30"/>
  <c r="J49" i="30"/>
  <c r="I49" i="30"/>
  <c r="F49" i="30"/>
  <c r="D49" i="30"/>
  <c r="L48" i="30"/>
  <c r="K48" i="30"/>
  <c r="J48" i="30"/>
  <c r="I48" i="30"/>
  <c r="F48" i="30"/>
  <c r="D48" i="30"/>
  <c r="L47" i="30"/>
  <c r="K47" i="30"/>
  <c r="J47" i="30"/>
  <c r="I47" i="30"/>
  <c r="F47" i="30"/>
  <c r="D47" i="30"/>
  <c r="L46" i="30"/>
  <c r="K46" i="30"/>
  <c r="J46" i="30"/>
  <c r="I46" i="30"/>
  <c r="F46" i="30"/>
  <c r="D46" i="30"/>
  <c r="L45" i="30"/>
  <c r="K45" i="30"/>
  <c r="J45" i="30"/>
  <c r="I45" i="30"/>
  <c r="F45" i="30"/>
  <c r="D45" i="30"/>
  <c r="L44" i="30"/>
  <c r="K44" i="30"/>
  <c r="J44" i="30"/>
  <c r="I44" i="30"/>
  <c r="F44" i="30"/>
  <c r="D44" i="30"/>
  <c r="L43" i="30"/>
  <c r="K43" i="30"/>
  <c r="J43" i="30"/>
  <c r="I43" i="30"/>
  <c r="F43" i="30"/>
  <c r="D43" i="30"/>
  <c r="L42" i="30"/>
  <c r="K42" i="30"/>
  <c r="J42" i="30"/>
  <c r="I42" i="30"/>
  <c r="F42" i="30"/>
  <c r="D42" i="30"/>
  <c r="L41" i="30"/>
  <c r="K41" i="30"/>
  <c r="J41" i="30"/>
  <c r="I41" i="30"/>
  <c r="F41" i="30"/>
  <c r="D41" i="30"/>
  <c r="L40" i="30"/>
  <c r="K40" i="30"/>
  <c r="J40" i="30"/>
  <c r="I40" i="30"/>
  <c r="F40" i="30"/>
  <c r="D40" i="30"/>
  <c r="L39" i="30"/>
  <c r="K39" i="30"/>
  <c r="J39" i="30"/>
  <c r="I39" i="30"/>
  <c r="F39" i="30"/>
  <c r="D39" i="30"/>
  <c r="L38" i="30"/>
  <c r="K38" i="30"/>
  <c r="J38" i="30"/>
  <c r="I38" i="30"/>
  <c r="F38" i="30"/>
  <c r="D38" i="30"/>
  <c r="L37" i="30"/>
  <c r="K37" i="30"/>
  <c r="J37" i="30"/>
  <c r="I37" i="30"/>
  <c r="F37" i="30"/>
  <c r="D37" i="30"/>
  <c r="L36" i="30"/>
  <c r="K36" i="30"/>
  <c r="J36" i="30"/>
  <c r="I36" i="30"/>
  <c r="F36" i="30"/>
  <c r="D36" i="30"/>
  <c r="U35" i="30"/>
  <c r="T35" i="30"/>
  <c r="L35" i="30"/>
  <c r="K35" i="30"/>
  <c r="J35" i="30"/>
  <c r="I35" i="30"/>
  <c r="F35" i="30"/>
  <c r="D35" i="30"/>
  <c r="U34" i="30"/>
  <c r="T34" i="30"/>
  <c r="L34" i="30"/>
  <c r="K34" i="30"/>
  <c r="J34" i="30"/>
  <c r="I34" i="30"/>
  <c r="F34" i="30"/>
  <c r="D34" i="30"/>
  <c r="U33" i="30"/>
  <c r="T33" i="30"/>
  <c r="L33" i="30"/>
  <c r="K33" i="30"/>
  <c r="J33" i="30"/>
  <c r="I33" i="30"/>
  <c r="F33" i="30"/>
  <c r="D33" i="30"/>
  <c r="U32" i="30"/>
  <c r="T32" i="30"/>
  <c r="L32" i="30"/>
  <c r="K32" i="30"/>
  <c r="J32" i="30"/>
  <c r="I32" i="30"/>
  <c r="F32" i="30"/>
  <c r="D32" i="30"/>
  <c r="U31" i="30"/>
  <c r="T31" i="30"/>
  <c r="L31" i="30"/>
  <c r="K31" i="30"/>
  <c r="J31" i="30"/>
  <c r="I31" i="30"/>
  <c r="F31" i="30"/>
  <c r="D31" i="30"/>
  <c r="U30" i="30"/>
  <c r="T30" i="30"/>
  <c r="B26" i="30"/>
  <c r="B12" i="30"/>
  <c r="D7" i="30"/>
  <c r="M5" i="30"/>
  <c r="L5" i="30"/>
  <c r="K5" i="30"/>
  <c r="J5" i="30"/>
  <c r="I5" i="30"/>
  <c r="F12" i="27"/>
  <c r="E12" i="27"/>
  <c r="D12" i="27"/>
  <c r="C12" i="27"/>
  <c r="B12" i="27"/>
  <c r="F11" i="27"/>
  <c r="E11" i="27"/>
  <c r="D11" i="27"/>
  <c r="C11" i="27"/>
  <c r="B11" i="27"/>
  <c r="F10" i="27"/>
  <c r="E10" i="27"/>
  <c r="D10" i="27"/>
  <c r="C10" i="27"/>
  <c r="B10" i="27"/>
  <c r="F6" i="27"/>
  <c r="C6" i="27"/>
  <c r="F5" i="27"/>
  <c r="C5" i="27"/>
  <c r="F4" i="27"/>
  <c r="C4" i="27"/>
  <c r="I19" i="23"/>
  <c r="H19" i="23"/>
  <c r="I18" i="23"/>
  <c r="H18" i="23"/>
  <c r="I17" i="23"/>
  <c r="H17" i="23"/>
  <c r="I16" i="23"/>
  <c r="H16" i="23"/>
  <c r="I15" i="23"/>
  <c r="H15" i="23"/>
  <c r="I14" i="23"/>
  <c r="H14" i="23"/>
  <c r="I13" i="23"/>
  <c r="H13" i="23"/>
  <c r="I12" i="23"/>
  <c r="H12" i="23"/>
  <c r="I11" i="23"/>
  <c r="H11" i="23"/>
  <c r="I10" i="23"/>
  <c r="H10" i="23"/>
  <c r="I9" i="23"/>
  <c r="H9" i="23"/>
  <c r="I8" i="23"/>
  <c r="H8" i="23"/>
  <c r="F14" i="17"/>
  <c r="F13" i="17"/>
  <c r="F12" i="17"/>
  <c r="F11" i="17"/>
  <c r="F10" i="17"/>
  <c r="F9" i="17"/>
  <c r="F8" i="17"/>
  <c r="F7" i="17"/>
  <c r="F6" i="17"/>
  <c r="F5" i="17"/>
  <c r="C12" i="15"/>
  <c r="B12" i="15"/>
  <c r="C11" i="15"/>
  <c r="B11" i="15"/>
  <c r="C10" i="15"/>
  <c r="B10" i="15"/>
  <c r="C9" i="15"/>
  <c r="B9" i="15"/>
  <c r="L15" i="14"/>
  <c r="L14" i="14"/>
  <c r="L13" i="14"/>
  <c r="L12" i="14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5" i="10"/>
  <c r="D44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N14" i="9"/>
  <c r="M14" i="9"/>
  <c r="L14" i="9"/>
  <c r="K14" i="9"/>
  <c r="H14" i="9"/>
  <c r="G14" i="9"/>
  <c r="F14" i="9"/>
  <c r="E14" i="9"/>
  <c r="N13" i="9"/>
  <c r="M13" i="9"/>
  <c r="L13" i="9"/>
  <c r="K13" i="9"/>
  <c r="H13" i="9"/>
  <c r="G13" i="9"/>
  <c r="F13" i="9"/>
  <c r="E13" i="9"/>
  <c r="N12" i="9"/>
  <c r="M12" i="9"/>
  <c r="L12" i="9"/>
  <c r="K12" i="9"/>
  <c r="H12" i="9"/>
  <c r="G12" i="9"/>
  <c r="F12" i="9"/>
  <c r="E12" i="9"/>
  <c r="N11" i="9"/>
  <c r="M11" i="9"/>
  <c r="L11" i="9"/>
  <c r="K11" i="9"/>
  <c r="H11" i="9"/>
  <c r="G11" i="9"/>
  <c r="F11" i="9"/>
  <c r="E11" i="9"/>
  <c r="N10" i="9"/>
  <c r="M10" i="9"/>
  <c r="L10" i="9"/>
  <c r="K10" i="9"/>
  <c r="H10" i="9"/>
  <c r="G10" i="9"/>
  <c r="F10" i="9"/>
  <c r="L17" i="1"/>
  <c r="K17" i="1"/>
  <c r="H17" i="1"/>
  <c r="G17" i="1"/>
  <c r="L16" i="1"/>
  <c r="K16" i="1"/>
  <c r="H16" i="1"/>
  <c r="G16" i="1"/>
  <c r="L15" i="1"/>
  <c r="K15" i="1"/>
  <c r="H15" i="1"/>
  <c r="G15" i="1"/>
  <c r="L10" i="1"/>
  <c r="K10" i="1"/>
  <c r="H10" i="1"/>
  <c r="G10" i="1"/>
  <c r="L9" i="1"/>
  <c r="K9" i="1"/>
  <c r="H9" i="1"/>
  <c r="G9" i="1"/>
  <c r="L8" i="1"/>
  <c r="K8" i="1"/>
  <c r="H8" i="1"/>
  <c r="K78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34D635-42B8-41B6-8980-D01B76C54AD8}" keepAlive="1" name="Query - datasets" description="Connection to the 'datasets' query in the workbook." type="5" refreshedVersion="8" background="1" saveData="1">
    <dbPr connection="Provider=Microsoft.Mashup.OleDb.1;Data Source=$Workbook$;Location=datasets;Extended Properties=&quot;&quot;" command="SELECT * FROM [datasets]"/>
  </connection>
  <connection id="2" xr16:uid="{3B2022A0-032F-4782-9899-6FE9AC7C8530}" keepAlive="1" name="Query - dim_date" description="Connection to the 'dim_date' query in the workbook." type="5" refreshedVersion="8" background="1" saveData="1">
    <dbPr connection="Provider=Microsoft.Mashup.OleDb.1;Data Source=$Workbook$;Location=dim_date;Extended Properties=&quot;&quot;" command="SELECT * FROM [dim_date]"/>
  </connection>
  <connection id="3" xr16:uid="{CD28DE01-D44A-444A-ADE7-3BFD9BB6BC7F}" keepAlive="1" name="Query - electric_vehicle_sales_by_makers" description="Connection to the 'electric_vehicle_sales_by_makers' query in the workbook." type="5" refreshedVersion="8" background="1" saveData="1">
    <dbPr connection="Provider=Microsoft.Mashup.OleDb.1;Data Source=$Workbook$;Location=electric_vehicle_sales_by_makers;Extended Properties=&quot;&quot;" command="SELECT * FROM [electric_vehicle_sales_by_makers]"/>
  </connection>
  <connection id="4" xr16:uid="{4CCC3BC9-6E04-4B5D-95D0-2AAE4B4325D7}" keepAlive="1" name="Query - electric_vehicle_sales_by_state" description="Connection to the 'electric_vehicle_sales_by_state' query in the workbook." type="5" refreshedVersion="8" background="1" saveData="1">
    <dbPr connection="Provider=Microsoft.Mashup.OleDb.1;Data Source=$Workbook$;Location=electric_vehicle_sales_by_state;Extended Properties=&quot;&quot;" command="SELECT * FROM [electric_vehicle_sales_by_state]"/>
  </connection>
  <connection id="5" xr16:uid="{70B5E292-2ED8-4782-A4FE-5C66A743A16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178B3899-E9EE-41D0-9DFE-4E782FE1492E}" name="WorksheetConnection_Book1!dim_date" type="102" refreshedVersion="8" minRefreshableVersion="5">
    <extLst>
      <ext xmlns:x15="http://schemas.microsoft.com/office/spreadsheetml/2010/11/main" uri="{DE250136-89BD-433C-8126-D09CA5730AF9}">
        <x15:connection id="dim_date">
          <x15:rangePr sourceName="_xlcn.WorksheetConnection_Book1dim_date1"/>
        </x15:connection>
      </ext>
    </extLst>
  </connection>
  <connection id="7" xr16:uid="{FB3E45D2-B044-4FF1-8F9F-EF89549DDDE8}" name="WorksheetConnection_Book1!electric_vehicle_sales_by_makers" type="102" refreshedVersion="8" minRefreshableVersion="5">
    <extLst>
      <ext xmlns:x15="http://schemas.microsoft.com/office/spreadsheetml/2010/11/main" uri="{DE250136-89BD-433C-8126-D09CA5730AF9}">
        <x15:connection id="electric_vehicle_sales_by_makers">
          <x15:rangePr sourceName="_xlcn.WorksheetConnection_Book1electric_vehicle_sales_by_makers1"/>
        </x15:connection>
      </ext>
    </extLst>
  </connection>
  <connection id="8" xr16:uid="{46DBFB66-F4DD-449A-A492-C4586426BDC9}" name="WorksheetConnection_Book1!electric_vehicle_sales_by_state" type="102" refreshedVersion="8" minRefreshableVersion="5">
    <extLst>
      <ext xmlns:x15="http://schemas.microsoft.com/office/spreadsheetml/2010/11/main" uri="{DE250136-89BD-433C-8126-D09CA5730AF9}">
        <x15:connection id="electric_vehicle_sales_by_state">
          <x15:rangePr sourceName="_xlcn.WorksheetConnection_Book1electric_vehicle_sales_by_state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dim_date].[fiscal_year].[All]}"/>
    <s v="{[electric_vehicle_sales_by_makers].[vehicle_category].&amp;[4-Wheelers]}"/>
    <s v="{[electric_vehicle_sales_by_makers].[vehicle_category].&amp;[2-Wheelers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<sst xmlns="http://schemas.openxmlformats.org/spreadsheetml/2006/main" count="7686" uniqueCount="173">
  <si>
    <t>Name</t>
  </si>
  <si>
    <t>Extension</t>
  </si>
  <si>
    <t>Date accessed</t>
  </si>
  <si>
    <t>Date modified</t>
  </si>
  <si>
    <t>Date created</t>
  </si>
  <si>
    <t>Folder Path</t>
  </si>
  <si>
    <t>dim_date.csv</t>
  </si>
  <si>
    <t>.csv</t>
  </si>
  <si>
    <t>C:\Users\Win11\Desktop\Code Basics\RPC12_Input_For_Participants\datasets\</t>
  </si>
  <si>
    <t>electric_vehicle_sales_by_makers.csv</t>
  </si>
  <si>
    <t>electric_vehicle_sales_by_state.csv</t>
  </si>
  <si>
    <t>date</t>
  </si>
  <si>
    <t>fiscal_year</t>
  </si>
  <si>
    <t>quarter</t>
  </si>
  <si>
    <t>Q1</t>
  </si>
  <si>
    <t>Q2</t>
  </si>
  <si>
    <t>Q3</t>
  </si>
  <si>
    <t>Q4</t>
  </si>
  <si>
    <t>vehicle_category</t>
  </si>
  <si>
    <t>maker</t>
  </si>
  <si>
    <t>electric_vehicles_sold</t>
  </si>
  <si>
    <t>2-Wheelers</t>
  </si>
  <si>
    <t>OLA ELECTRIC</t>
  </si>
  <si>
    <t>OKAYA EV</t>
  </si>
  <si>
    <t>4-Wheelers</t>
  </si>
  <si>
    <t>BYD India</t>
  </si>
  <si>
    <t>PCA Automobiles</t>
  </si>
  <si>
    <t>BMW India</t>
  </si>
  <si>
    <t>Volvo Auto India</t>
  </si>
  <si>
    <t>KIA Motors</t>
  </si>
  <si>
    <t>Mercedes -Benz AG</t>
  </si>
  <si>
    <t>Tata Motors</t>
  </si>
  <si>
    <t>MG Motor</t>
  </si>
  <si>
    <t>Mahindra &amp; Mahindra</t>
  </si>
  <si>
    <t>Hyundai Motor</t>
  </si>
  <si>
    <t>HERO ELECTRIC</t>
  </si>
  <si>
    <t>OKINAWA</t>
  </si>
  <si>
    <t>AMPERE</t>
  </si>
  <si>
    <t>ATHER</t>
  </si>
  <si>
    <t>PURE EV</t>
  </si>
  <si>
    <t>TVS</t>
  </si>
  <si>
    <t>REVOLT</t>
  </si>
  <si>
    <t>BAJAJ</t>
  </si>
  <si>
    <t>BEING</t>
  </si>
  <si>
    <t>JITENDRA</t>
  </si>
  <si>
    <t>OTHERS</t>
  </si>
  <si>
    <t>BGAUSS</t>
  </si>
  <si>
    <t>BATTRE ELECTRIC</t>
  </si>
  <si>
    <t>KINETIC GREEN</t>
  </si>
  <si>
    <t>state</t>
  </si>
  <si>
    <t>total_vehicles_sold</t>
  </si>
  <si>
    <t>Sikkim</t>
  </si>
  <si>
    <t>Andaman &amp; Nicobar Island</t>
  </si>
  <si>
    <t>Arunachal Pradesh</t>
  </si>
  <si>
    <t>Assam</t>
  </si>
  <si>
    <t>Chhattisgarh</t>
  </si>
  <si>
    <t>DNH and DD</t>
  </si>
  <si>
    <t>Jammu and Kashmir</t>
  </si>
  <si>
    <t>Ladakh</t>
  </si>
  <si>
    <t>Manipur</t>
  </si>
  <si>
    <t>Meghalaya</t>
  </si>
  <si>
    <t>Mizoram</t>
  </si>
  <si>
    <t>Nagaland</t>
  </si>
  <si>
    <t>Puducherry</t>
  </si>
  <si>
    <t>Tripura</t>
  </si>
  <si>
    <t>Bihar</t>
  </si>
  <si>
    <t>Chandigarh</t>
  </si>
  <si>
    <t>Delhi</t>
  </si>
  <si>
    <t>Madhya Pradesh</t>
  </si>
  <si>
    <t>Odisha</t>
  </si>
  <si>
    <t>Punjab</t>
  </si>
  <si>
    <t>Uttarakhand</t>
  </si>
  <si>
    <t>Himachal Pradesh</t>
  </si>
  <si>
    <t>Andaman &amp; Nicobar</t>
  </si>
  <si>
    <t>Haryana</t>
  </si>
  <si>
    <t>Jharkhand</t>
  </si>
  <si>
    <t>Andhra Pradesh</t>
  </si>
  <si>
    <t>Goa</t>
  </si>
  <si>
    <t>Gujarat</t>
  </si>
  <si>
    <t>Karnataka</t>
  </si>
  <si>
    <t>Kerala</t>
  </si>
  <si>
    <t>Maharashtra</t>
  </si>
  <si>
    <t>Rajasthan</t>
  </si>
  <si>
    <t>Tamil Nadu</t>
  </si>
  <si>
    <t>Uttar Pradesh</t>
  </si>
  <si>
    <t>West Bengal</t>
  </si>
  <si>
    <t>Row Labels</t>
  </si>
  <si>
    <t>Grand Total</t>
  </si>
  <si>
    <t>Sum of electric_vehicles_sold</t>
  </si>
  <si>
    <t>2022</t>
  </si>
  <si>
    <t>2023</t>
  </si>
  <si>
    <t>2024</t>
  </si>
  <si>
    <t>Years (date)</t>
  </si>
  <si>
    <t>Rank</t>
  </si>
  <si>
    <t>Maker</t>
  </si>
  <si>
    <t>Units Sold</t>
  </si>
  <si>
    <t>Top 3 EV 2-Wheeler Makers – FY 2023</t>
  </si>
  <si>
    <t>Unites Sold</t>
  </si>
  <si>
    <t>Rank(Bottom)</t>
  </si>
  <si>
    <t>Bottom 3 EV 2-Wheeler Makers – FY 2023</t>
  </si>
  <si>
    <t>Top 3 EV 2-Wheeler Makers – FY 2024</t>
  </si>
  <si>
    <t>Bottom 3 EV 2-Wheeler Makers – FY 2024</t>
  </si>
  <si>
    <t>Sum of total_vehicles_sold</t>
  </si>
  <si>
    <t>State</t>
  </si>
  <si>
    <t>Total Sales</t>
  </si>
  <si>
    <t>Penetration Rate</t>
  </si>
  <si>
    <t>Ev Sales</t>
  </si>
  <si>
    <t>Top 5 States by EV Penetration (2-Wheelers) – FY 2024</t>
  </si>
  <si>
    <t>Top 5 States by EV Penetration (4-Wheelers) – FY 2024</t>
  </si>
  <si>
    <t>Penetration 2022</t>
  </si>
  <si>
    <t>Penetration 2023</t>
  </si>
  <si>
    <t>Change</t>
  </si>
  <si>
    <t>States with Negative EV Penetration (2022–2024)</t>
  </si>
  <si>
    <t>Column Labels</t>
  </si>
  <si>
    <t>All</t>
  </si>
  <si>
    <t xml:space="preserve"> </t>
  </si>
  <si>
    <t>Quarter</t>
  </si>
  <si>
    <t>Makers</t>
  </si>
  <si>
    <t xml:space="preserve">Total </t>
  </si>
  <si>
    <t>Quarterly Trends for Top 5 EV Makers (4-Wheelers)</t>
  </si>
  <si>
    <t>Total Vehicals sold</t>
  </si>
  <si>
    <t>Delhi vs Karnataka</t>
  </si>
  <si>
    <t>EV Sales &amp; Penetration Comparison (FY 2024)</t>
  </si>
  <si>
    <t>CAGR</t>
  </si>
  <si>
    <t>Top 5 Makers by CAGR (4-Wheelers)</t>
  </si>
  <si>
    <t>states</t>
  </si>
  <si>
    <t>Top 10 States by CAGR (Total Vehicle Sales) – 2022–2024</t>
  </si>
  <si>
    <t>Month_Name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</si>
  <si>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</si>
  <si>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</si>
  <si>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</si>
  <si>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</si>
  <si>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</si>
  <si>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</si>
  <si>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</si>
  <si>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</si>
  <si>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</si>
  <si>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</si>
  <si>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</si>
  <si>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</si>
  <si>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Monthly EV Sales Summary</t>
  </si>
  <si>
    <t>EV Sales Projection for 2030 (Based on CAGR 2022–2024)</t>
  </si>
  <si>
    <t>2024 Sales</t>
  </si>
  <si>
    <t>Projected 2030 Sales</t>
  </si>
  <si>
    <t>2W Revenue</t>
  </si>
  <si>
    <t>Year</t>
  </si>
  <si>
    <t>2w Sales</t>
  </si>
  <si>
    <t>4W Sales</t>
  </si>
  <si>
    <t>4W Revenue</t>
  </si>
  <si>
    <t>Category</t>
  </si>
  <si>
    <t>Growth(2022-2024)</t>
  </si>
  <si>
    <t>Growth(2023-2024)</t>
  </si>
  <si>
    <t>Revenue Growth Rate of EVs in India</t>
  </si>
  <si>
    <t>Growth(%)</t>
  </si>
  <si>
    <t>Total EV sold</t>
  </si>
  <si>
    <t>Growth</t>
  </si>
  <si>
    <t>EV Penetration</t>
  </si>
  <si>
    <t>Top State (EV)</t>
  </si>
  <si>
    <t>KPIs</t>
  </si>
  <si>
    <t>rate</t>
  </si>
  <si>
    <t>Ev Sold</t>
  </si>
  <si>
    <t>Total Vehical Sold</t>
  </si>
  <si>
    <t>2 wheelers</t>
  </si>
  <si>
    <t>4 wheelers</t>
  </si>
  <si>
    <t>2022-2024</t>
  </si>
  <si>
    <t>2023-2024</t>
  </si>
  <si>
    <t>2W</t>
  </si>
  <si>
    <t>4W</t>
  </si>
  <si>
    <t>ev</t>
  </si>
  <si>
    <t>Total Vehicals</t>
  </si>
  <si>
    <t>Pentration rate</t>
  </si>
  <si>
    <t xml:space="preserve"> Penetration rate</t>
  </si>
  <si>
    <t>Projected EV Sales (2030)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</si>
</sst>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,&quot;K&quot;"/>
    <numFmt numFmtId="165" formatCode="0.00,,\ &quot;M&quot;"/>
    <numFmt numFmtId="166" formatCode="#,##0,&quot;K&quot;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Segoe UI"/>
      <family val="2"/>
    </font>
    <font>
      <b/>
      <sz val="11"/>
      <color rgb="FFC00000"/>
      <name val="Segoe UI"/>
      <family val="2"/>
    </font>
    <font>
      <b/>
      <sz val="11"/>
      <color theme="1"/>
      <name val="Segoe UI"/>
      <family val="2"/>
    </font>
    <font>
      <sz val="11"/>
      <color theme="1"/>
      <name val="Rockwell"/>
      <family val="1"/>
    </font>
    <font>
      <sz val="11"/>
      <color theme="4" tint="-0.499984740745262"/>
      <name val="Calibri"/>
      <family val="2"/>
      <scheme val="minor"/>
    </font>
    <font>
      <b/>
      <sz val="11"/>
      <color theme="1" tint="0.34998626667073579"/>
      <name val="Segoe UI"/>
      <family val="2"/>
    </font>
    <font>
      <sz val="11"/>
      <color theme="1"/>
      <name val="Segoe UI Semibol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10" fontId="0" fillId="0" borderId="0" xfId="0" applyNumberFormat="1"/>
    <xf numFmtId="10" fontId="0" fillId="0" borderId="1" xfId="0" applyNumberFormat="1" applyBorder="1"/>
    <xf numFmtId="164" fontId="0" fillId="0" borderId="1" xfId="0" applyNumberFormat="1" applyBorder="1"/>
    <xf numFmtId="2" fontId="0" fillId="0" borderId="0" xfId="0" applyNumberFormat="1"/>
    <xf numFmtId="1" fontId="0" fillId="0" borderId="0" xfId="0" applyNumberFormat="1"/>
    <xf numFmtId="1" fontId="0" fillId="0" borderId="1" xfId="0" applyNumberFormat="1" applyBorder="1"/>
    <xf numFmtId="2" fontId="0" fillId="0" borderId="1" xfId="0" applyNumberFormat="1" applyBorder="1"/>
    <xf numFmtId="0" fontId="0" fillId="0" borderId="1" xfId="0" applyBorder="1" applyAlignment="1">
      <alignment horizontal="left"/>
    </xf>
    <xf numFmtId="165" fontId="0" fillId="0" borderId="1" xfId="0" applyNumberFormat="1" applyBorder="1"/>
    <xf numFmtId="166" fontId="0" fillId="0" borderId="0" xfId="0" applyNumberFormat="1"/>
    <xf numFmtId="0" fontId="1" fillId="3" borderId="1" xfId="0" applyFont="1" applyFill="1" applyBorder="1"/>
    <xf numFmtId="0" fontId="3" fillId="0" borderId="1" xfId="0" applyFont="1" applyBorder="1"/>
    <xf numFmtId="9" fontId="2" fillId="0" borderId="1" xfId="0" applyNumberFormat="1" applyFont="1" applyBorder="1"/>
    <xf numFmtId="0" fontId="4" fillId="0" borderId="1" xfId="0" applyFont="1" applyBorder="1"/>
    <xf numFmtId="1" fontId="4" fillId="0" borderId="1" xfId="0" applyNumberFormat="1" applyFont="1" applyBorder="1"/>
    <xf numFmtId="0" fontId="5" fillId="0" borderId="0" xfId="0" applyFont="1"/>
    <xf numFmtId="0" fontId="6" fillId="0" borderId="1" xfId="0" applyFont="1" applyBorder="1"/>
    <xf numFmtId="10" fontId="6" fillId="0" borderId="1" xfId="0" applyNumberFormat="1" applyFont="1" applyBorder="1"/>
    <xf numFmtId="0" fontId="7" fillId="0" borderId="0" xfId="0" applyFont="1"/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19"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66" formatCode="#,##0,&quot;K&quot;"/>
    </dxf>
    <dxf>
      <numFmt numFmtId="166" formatCode="#,##0,&quot;K&quot;"/>
    </dxf>
    <dxf>
      <numFmt numFmtId="166" formatCode="#,##0,&quot;K&quot;"/>
    </dxf>
    <dxf>
      <numFmt numFmtId="166" formatCode="#,##0,&quot;K&quot;"/>
    </dxf>
  </dxfs>
  <tableStyles count="0" defaultTableStyle="TableStyleMedium2" defaultPivotStyle="PivotStyleLight16"/>
  <colors>
    <mruColors>
      <color rgb="FFC62828"/>
      <color rgb="FF2E7D32"/>
      <color rgb="FF26A69A"/>
      <color rgb="FFD4AF37"/>
      <color rgb="FF3A6EA5"/>
      <color rgb="FF7FA6D9"/>
      <color rgb="FFD6E4F5"/>
      <color rgb="FFC8D9F0"/>
      <color rgb="FF60943C"/>
      <color rgb="FFC8E6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connections" Target="connections.xml"/><Relationship Id="rId42" Type="http://schemas.openxmlformats.org/officeDocument/2006/relationships/customXml" Target="../customXml/item3.xml"/><Relationship Id="rId47" Type="http://schemas.openxmlformats.org/officeDocument/2006/relationships/customXml" Target="../customXml/item8.xml"/><Relationship Id="rId50" Type="http://schemas.openxmlformats.org/officeDocument/2006/relationships/customXml" Target="../customXml/item11.xml"/><Relationship Id="rId55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powerPivotData" Target="model/item.data"/><Relationship Id="rId46" Type="http://schemas.openxmlformats.org/officeDocument/2006/relationships/customXml" Target="../customXml/item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3.xml"/><Relationship Id="rId41" Type="http://schemas.openxmlformats.org/officeDocument/2006/relationships/customXml" Target="../customXml/item2.xml"/><Relationship Id="rId54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6.xml"/><Relationship Id="rId37" Type="http://schemas.openxmlformats.org/officeDocument/2006/relationships/sheetMetadata" Target="metadata.xml"/><Relationship Id="rId40" Type="http://schemas.openxmlformats.org/officeDocument/2006/relationships/customXml" Target="../customXml/item1.xml"/><Relationship Id="rId45" Type="http://schemas.openxmlformats.org/officeDocument/2006/relationships/customXml" Target="../customXml/item6.xml"/><Relationship Id="rId53" Type="http://schemas.openxmlformats.org/officeDocument/2006/relationships/customXml" Target="../customXml/item14.xml"/><Relationship Id="rId58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2.xml"/><Relationship Id="rId36" Type="http://schemas.openxmlformats.org/officeDocument/2006/relationships/sharedStrings" Target="sharedStrings.xml"/><Relationship Id="rId49" Type="http://schemas.openxmlformats.org/officeDocument/2006/relationships/customXml" Target="../customXml/item10.xml"/><Relationship Id="rId57" Type="http://schemas.openxmlformats.org/officeDocument/2006/relationships/customXml" Target="../customXml/item1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5.xml"/><Relationship Id="rId44" Type="http://schemas.openxmlformats.org/officeDocument/2006/relationships/customXml" Target="../customXml/item5.xml"/><Relationship Id="rId52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1.xml"/><Relationship Id="rId30" Type="http://schemas.openxmlformats.org/officeDocument/2006/relationships/pivotCacheDefinition" Target="pivotCache/pivotCacheDefinition4.xml"/><Relationship Id="rId35" Type="http://schemas.openxmlformats.org/officeDocument/2006/relationships/styles" Target="styles.xml"/><Relationship Id="rId43" Type="http://schemas.openxmlformats.org/officeDocument/2006/relationships/customXml" Target="../customXml/item4.xml"/><Relationship Id="rId48" Type="http://schemas.openxmlformats.org/officeDocument/2006/relationships/customXml" Target="../customXml/item9.xml"/><Relationship Id="rId56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2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[CodeBasics.xlsx]KPIs!PivotTable8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6954612117286849E-2"/>
              <c:y val="5.68821815481356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6954612117286849E-2"/>
              <c:y val="5.68821815481356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6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</c:marker>
        <c:dLbl>
          <c:idx val="0"/>
          <c:layout>
            <c:manualLayout>
              <c:x val="-5.4526705504478939E-2"/>
              <c:y val="9.5906675696570506E-2"/>
            </c:manualLayout>
          </c:layout>
          <c:spPr>
            <a:solidFill>
              <a:srgbClr val="C00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</c:marker>
        <c:dLbl>
          <c:idx val="0"/>
          <c:layout>
            <c:manualLayout>
              <c:x val="-4.881237005388046E-3"/>
              <c:y val="-3.9270739279397393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fld id="{ACBA41FB-13FA-4933-9D11-38F1852EC075}" type="VALUE">
                  <a:rPr lang="en-US" baseline="0"/>
                  <a:pPr>
                    <a:defRPr b="1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defRPr>
                  </a:pPr>
                  <a:t>[VALUE]</a:t>
                </a:fld>
                <a:endParaRPr lang="en-IN"/>
              </a:p>
            </c:rich>
          </c:tx>
          <c:spPr>
            <a:solidFill>
              <a:srgbClr val="2E7D3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IN"/>
            </a:p>
          </c:txPr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KPIs!$B$70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E52F-4C25-B3BC-BE0E67B0459C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52F-4C25-B3BC-BE0E67B0459C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2967-48D6-A1DB-06A70C835EC4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E52F-4C25-B3BC-BE0E67B0459C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52F-4C25-B3BC-BE0E67B0459C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E52F-4C25-B3BC-BE0E67B0459C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52F-4C25-B3BC-BE0E67B0459C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E52F-4C25-B3BC-BE0E67B0459C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E52F-4C25-B3BC-BE0E67B0459C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E52F-4C25-B3BC-BE0E67B0459C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E52F-4C25-B3BC-BE0E67B0459C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E52F-4C25-B3BC-BE0E67B0459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52F-4C25-B3BC-BE0E67B0459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52F-4C25-B3BC-BE0E67B0459C}"/>
                </c:ext>
              </c:extLst>
            </c:dLbl>
            <c:dLbl>
              <c:idx val="2"/>
              <c:layout>
                <c:manualLayout>
                  <c:x val="-4.881237005388046E-3"/>
                  <c:y val="-3.927073927939739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bg1"/>
                        </a:solidFill>
                        <a:latin typeface="Segoe UI" panose="020B0502040204020203" pitchFamily="34" charset="0"/>
                        <a:ea typeface="+mn-ea"/>
                        <a:cs typeface="Segoe UI" panose="020B0502040204020203" pitchFamily="34" charset="0"/>
                      </a:defRPr>
                    </a:pPr>
                    <a:fld id="{ACBA41FB-13FA-4933-9D11-38F1852EC075}" type="VALUE">
                      <a:rPr lang="en-US" baseline="0"/>
                      <a:pPr>
                        <a:defRPr b="1">
                          <a:solidFill>
                            <a:schemeClr val="bg1"/>
                          </a:solidFill>
                          <a:latin typeface="Segoe UI" panose="020B0502040204020203" pitchFamily="34" charset="0"/>
                          <a:cs typeface="Segoe UI" panose="020B0502040204020203" pitchFamily="34" charset="0"/>
                        </a:defRPr>
                      </a:pPr>
                      <a:t>[VALUE]</a:t>
                    </a:fld>
                    <a:endParaRPr lang="en-IN"/>
                  </a:p>
                </c:rich>
              </c:tx>
              <c:spPr>
                <a:solidFill>
                  <a:srgbClr val="2E7D3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Segoe UI" panose="020B0502040204020203" pitchFamily="34" charset="0"/>
                      <a:ea typeface="+mn-ea"/>
                      <a:cs typeface="Segoe UI" panose="020B0502040204020203" pitchFamily="34" charset="0"/>
                    </a:defRPr>
                  </a:pPr>
                  <a:endParaRPr lang="en-IN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6-2967-48D6-A1DB-06A70C835EC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52F-4C25-B3BC-BE0E67B0459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52F-4C25-B3BC-BE0E67B0459C}"/>
                </c:ext>
              </c:extLst>
            </c:dLbl>
            <c:dLbl>
              <c:idx val="5"/>
              <c:layout>
                <c:manualLayout>
                  <c:x val="-5.4526705504478939E-2"/>
                  <c:y val="9.5906675696570506E-2"/>
                </c:manualLayout>
              </c:layout>
              <c:spPr>
                <a:solidFill>
                  <a:srgbClr val="C00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Segoe UI" panose="020B0502040204020203" pitchFamily="34" charset="0"/>
                      <a:ea typeface="+mn-ea"/>
                      <a:cs typeface="Segoe UI" panose="020B0502040204020203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52F-4C25-B3BC-BE0E67B0459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52F-4C25-B3BC-BE0E67B0459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52F-4C25-B3BC-BE0E67B0459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52F-4C25-B3BC-BE0E67B0459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52F-4C25-B3BC-BE0E67B0459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52F-4C25-B3BC-BE0E67B0459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52F-4C25-B3BC-BE0E67B045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KPIs!$A$71:$A$83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KPIs!$B$71:$B$83</c:f>
              <c:numCache>
                <c:formatCode>#,##0,"K"</c:formatCode>
                <c:ptCount val="12"/>
                <c:pt idx="0">
                  <c:v>189099</c:v>
                </c:pt>
                <c:pt idx="1">
                  <c:v>198049</c:v>
                </c:pt>
                <c:pt idx="2">
                  <c:v>291587</c:v>
                </c:pt>
                <c:pt idx="3">
                  <c:v>134657</c:v>
                </c:pt>
                <c:pt idx="4">
                  <c:v>159869</c:v>
                </c:pt>
                <c:pt idx="5">
                  <c:v>106709</c:v>
                </c:pt>
                <c:pt idx="6">
                  <c:v>127426</c:v>
                </c:pt>
                <c:pt idx="7">
                  <c:v>141961</c:v>
                </c:pt>
                <c:pt idx="8">
                  <c:v>145972</c:v>
                </c:pt>
                <c:pt idx="9">
                  <c:v>185185</c:v>
                </c:pt>
                <c:pt idx="10">
                  <c:v>205196</c:v>
                </c:pt>
                <c:pt idx="11">
                  <c:v>180401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52F-4C25-B3BC-BE0E67B0459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4522056"/>
        <c:axId val="954525296"/>
      </c:lineChart>
      <c:catAx>
        <c:axId val="954522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954525296"/>
        <c:crosses val="autoZero"/>
        <c:auto val="1"/>
        <c:lblAlgn val="ctr"/>
        <c:lblOffset val="100"/>
        <c:noMultiLvlLbl val="0"/>
      </c:catAx>
      <c:valAx>
        <c:axId val="954525296"/>
        <c:scaling>
          <c:orientation val="minMax"/>
        </c:scaling>
        <c:delete val="0"/>
        <c:axPos val="l"/>
        <c:numFmt formatCode="#,##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954522056"/>
        <c:crosses val="autoZero"/>
        <c:crossBetween val="between"/>
        <c:majorUnit val="10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268143482064743"/>
          <c:y val="0.21350458715596335"/>
          <c:w val="0.7282074540682415"/>
          <c:h val="0.70576146788990823"/>
        </c:manualLayout>
      </c:layout>
      <c:barChart>
        <c:barDir val="bar"/>
        <c:grouping val="clustered"/>
        <c:varyColors val="0"/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957008888"/>
        <c:axId val="957009248"/>
      </c:barChart>
      <c:catAx>
        <c:axId val="9570088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957009248"/>
        <c:crosses val="autoZero"/>
        <c:auto val="1"/>
        <c:lblAlgn val="ctr"/>
        <c:lblOffset val="1"/>
        <c:tickLblSkip val="1"/>
        <c:noMultiLvlLbl val="0"/>
      </c:catAx>
      <c:valAx>
        <c:axId val="957009248"/>
        <c:scaling>
          <c:orientation val="minMax"/>
        </c:scaling>
        <c:delete val="1"/>
        <c:axPos val="t"/>
        <c:numFmt formatCode="0.00%" sourceLinked="1"/>
        <c:majorTickMark val="none"/>
        <c:minorTickMark val="none"/>
        <c:tickLblPos val="nextTo"/>
        <c:crossAx val="957008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[CodeBasics.xlsx]KPIs!PivotTable12</c:name>
    <c:fmtId val="4"/>
  </c:pivotSource>
  <c:chart>
    <c:autoTitleDeleted val="1"/>
    <c:pivotFmts>
      <c:pivotFmt>
        <c:idx val="0"/>
        <c:spPr>
          <a:gradFill flip="none" rotWithShape="1">
            <a:gsLst>
              <a:gs pos="0">
                <a:srgbClr val="60943C"/>
              </a:gs>
              <a:gs pos="100000">
                <a:schemeClr val="accent6">
                  <a:lumMod val="50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numFmt formatCode="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rgbClr val="60943C"/>
              </a:gs>
              <a:gs pos="100000">
                <a:schemeClr val="accent6">
                  <a:lumMod val="50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numFmt formatCode="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rgbClr val="60943C"/>
              </a:gs>
              <a:gs pos="100000">
                <a:schemeClr val="accent6">
                  <a:lumMod val="50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numFmt formatCode="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KPIs!$B$98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60943C"/>
                </a:gs>
                <a:gs pos="100000">
                  <a:schemeClr val="accent6">
                    <a:lumMod val="50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numFmt formatCode="#,##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KPIs!$A$99:$A$104</c:f>
              <c:strCache>
                <c:ptCount val="5"/>
                <c:pt idx="0">
                  <c:v>OLA ELECTRIC</c:v>
                </c:pt>
                <c:pt idx="1">
                  <c:v>TVS</c:v>
                </c:pt>
                <c:pt idx="2">
                  <c:v>ATHER</c:v>
                </c:pt>
                <c:pt idx="3">
                  <c:v>HERO ELECTRIC</c:v>
                </c:pt>
                <c:pt idx="4">
                  <c:v>AMPERE</c:v>
                </c:pt>
              </c:strCache>
            </c:strRef>
          </c:cat>
          <c:val>
            <c:numRef>
              <c:f>KPIs!$B$99:$B$104</c:f>
              <c:numCache>
                <c:formatCode>General</c:formatCode>
                <c:ptCount val="5"/>
                <c:pt idx="0">
                  <c:v>489473</c:v>
                </c:pt>
                <c:pt idx="1">
                  <c:v>272575</c:v>
                </c:pt>
                <c:pt idx="2">
                  <c:v>204449</c:v>
                </c:pt>
                <c:pt idx="3">
                  <c:v>170394</c:v>
                </c:pt>
                <c:pt idx="4">
                  <c:v>167274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64-42D7-BF99-CD81AF174F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901965888"/>
        <c:axId val="901965168"/>
      </c:barChart>
      <c:catAx>
        <c:axId val="9019658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901965168"/>
        <c:crosses val="autoZero"/>
        <c:auto val="1"/>
        <c:lblAlgn val="ctr"/>
        <c:lblOffset val="100"/>
        <c:noMultiLvlLbl val="0"/>
      </c:catAx>
      <c:valAx>
        <c:axId val="901965168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901965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KPIs!$S$109</c:f>
              <c:strCache>
                <c:ptCount val="1"/>
                <c:pt idx="0">
                  <c:v> Penetration rate</c:v>
                </c:pt>
              </c:strCache>
            </c:strRef>
          </c:tx>
          <c:spPr>
            <a:gradFill>
              <a:gsLst>
                <a:gs pos="57473">
                  <a:srgbClr val="7CA0C7"/>
                </a:gs>
                <a:gs pos="45963">
                  <a:srgbClr val="8EAED0"/>
                </a:gs>
                <a:gs pos="32200">
                  <a:srgbClr val="A4BEDB"/>
                </a:gs>
                <a:gs pos="100000">
                  <a:srgbClr val="3A6EA5"/>
                </a:gs>
              </a:gsLst>
              <a:lin ang="108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KPIs!$R$110:$R$114</c:f>
              <c:strCache>
                <c:ptCount val="5"/>
                <c:pt idx="0">
                  <c:v>Goa</c:v>
                </c:pt>
                <c:pt idx="1">
                  <c:v>Karnataka</c:v>
                </c:pt>
                <c:pt idx="2">
                  <c:v>Delhi</c:v>
                </c:pt>
                <c:pt idx="3">
                  <c:v>Kerala</c:v>
                </c:pt>
                <c:pt idx="4">
                  <c:v>Maharashtra</c:v>
                </c:pt>
              </c:strCache>
            </c:strRef>
          </c:cat>
          <c:val>
            <c:numRef>
              <c:f>KPIs!$S$110:$S$114</c:f>
              <c:numCache>
                <c:formatCode>0.00%</c:formatCode>
                <c:ptCount val="5"/>
                <c:pt idx="0">
                  <c:v>9.8434765214782213E-2</c:v>
                </c:pt>
                <c:pt idx="1">
                  <c:v>7.8359844669780576E-2</c:v>
                </c:pt>
                <c:pt idx="2">
                  <c:v>6.7558277450271834E-2</c:v>
                </c:pt>
                <c:pt idx="3">
                  <c:v>6.6383264791538818E-2</c:v>
                </c:pt>
                <c:pt idx="4">
                  <c:v>6.4910203822743817E-2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3-44D4-A541-5344271C7A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1059936288"/>
        <c:axId val="1059937008"/>
      </c:barChart>
      <c:catAx>
        <c:axId val="10599362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059937008"/>
        <c:crosses val="autoZero"/>
        <c:auto val="1"/>
        <c:lblAlgn val="ctr"/>
        <c:lblOffset val="100"/>
        <c:noMultiLvlLbl val="0"/>
      </c:catAx>
      <c:valAx>
        <c:axId val="1059937008"/>
        <c:scaling>
          <c:orientation val="minMax"/>
        </c:scaling>
        <c:delete val="1"/>
        <c:axPos val="t"/>
        <c:numFmt formatCode="0.00%" sourceLinked="1"/>
        <c:majorTickMark val="none"/>
        <c:minorTickMark val="none"/>
        <c:tickLblPos val="nextTo"/>
        <c:crossAx val="1059936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>
              <a:gsLst>
                <a:gs pos="0">
                  <a:srgbClr val="60943C"/>
                </a:gs>
                <a:gs pos="100000">
                  <a:schemeClr val="accent6">
                    <a:lumMod val="50000"/>
                  </a:schemeClr>
                </a:gs>
              </a:gsLst>
              <a:lin ang="10800000" scaled="1"/>
            </a:gradFill>
            <a:ln>
              <a:noFill/>
            </a:ln>
            <a:effectLst/>
          </c:spPr>
          <c:invertIfNegative val="0"/>
          <c:dLbls>
            <c:numFmt formatCode="#,##0.0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KPIs!$D$154:$D$158</c:f>
              <c:strCache>
                <c:ptCount val="5"/>
                <c:pt idx="0">
                  <c:v>BATTRE ELECTRIC</c:v>
                </c:pt>
                <c:pt idx="1">
                  <c:v>KINETIC GREEN</c:v>
                </c:pt>
                <c:pt idx="2">
                  <c:v>JITENDRA</c:v>
                </c:pt>
                <c:pt idx="3">
                  <c:v>BGAUSS</c:v>
                </c:pt>
                <c:pt idx="4">
                  <c:v>BEING</c:v>
                </c:pt>
              </c:strCache>
            </c:strRef>
          </c:cat>
          <c:val>
            <c:numRef>
              <c:f>KPIs!$E$154:$E$158</c:f>
              <c:numCache>
                <c:formatCode>General</c:formatCode>
                <c:ptCount val="5"/>
                <c:pt idx="0">
                  <c:v>4841</c:v>
                </c:pt>
                <c:pt idx="1">
                  <c:v>9585</c:v>
                </c:pt>
                <c:pt idx="2">
                  <c:v>12438</c:v>
                </c:pt>
                <c:pt idx="3">
                  <c:v>15051</c:v>
                </c:pt>
                <c:pt idx="4">
                  <c:v>18392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94-483E-8EFE-F9BC457A8F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888478144"/>
        <c:axId val="888486784"/>
      </c:barChart>
      <c:catAx>
        <c:axId val="88847814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888486784"/>
        <c:crosses val="autoZero"/>
        <c:auto val="1"/>
        <c:lblAlgn val="ctr"/>
        <c:lblOffset val="120"/>
        <c:tickLblSkip val="1"/>
        <c:noMultiLvlLbl val="0"/>
      </c:catAx>
      <c:valAx>
        <c:axId val="8884867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88478144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emf"/><Relationship Id="rId13" Type="http://schemas.openxmlformats.org/officeDocument/2006/relationships/image" Target="../media/image8.png"/><Relationship Id="rId3" Type="http://schemas.openxmlformats.org/officeDocument/2006/relationships/chart" Target="../charts/chart2.xml"/><Relationship Id="rId7" Type="http://schemas.openxmlformats.org/officeDocument/2006/relationships/image" Target="../media/image3.png"/><Relationship Id="rId12" Type="http://schemas.openxmlformats.org/officeDocument/2006/relationships/image" Target="../media/image7.svg"/><Relationship Id="rId2" Type="http://schemas.openxmlformats.org/officeDocument/2006/relationships/chart" Target="../charts/chart1.xml"/><Relationship Id="rId16" Type="http://schemas.openxmlformats.org/officeDocument/2006/relationships/image" Target="../media/image11.sv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11" Type="http://schemas.openxmlformats.org/officeDocument/2006/relationships/image" Target="../media/image6.png"/><Relationship Id="rId5" Type="http://schemas.openxmlformats.org/officeDocument/2006/relationships/image" Target="../media/image2.emf"/><Relationship Id="rId15" Type="http://schemas.openxmlformats.org/officeDocument/2006/relationships/image" Target="../media/image10.png"/><Relationship Id="rId10" Type="http://schemas.openxmlformats.org/officeDocument/2006/relationships/image" Target="../media/image5.emf"/><Relationship Id="rId4" Type="http://schemas.openxmlformats.org/officeDocument/2006/relationships/chart" Target="../charts/chart3.xml"/><Relationship Id="rId9" Type="http://schemas.openxmlformats.org/officeDocument/2006/relationships/chart" Target="../charts/chart5.xml"/><Relationship Id="rId14" Type="http://schemas.openxmlformats.org/officeDocument/2006/relationships/image" Target="../media/image9.sv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444427</xdr:colOff>
      <xdr:row>0</xdr:row>
      <xdr:rowOff>134055</xdr:rowOff>
    </xdr:from>
    <xdr:to>
      <xdr:col>19</xdr:col>
      <xdr:colOff>385427</xdr:colOff>
      <xdr:row>31</xdr:row>
      <xdr:rowOff>150812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C837D2A-38B0-590D-A3AE-A80675C2E18A}"/>
            </a:ext>
          </a:extLst>
        </xdr:cNvPr>
        <xdr:cNvSpPr/>
      </xdr:nvSpPr>
      <xdr:spPr>
        <a:xfrm>
          <a:off x="2277990" y="134055"/>
          <a:ext cx="9720000" cy="5676195"/>
        </a:xfrm>
        <a:prstGeom prst="rect">
          <a:avLst/>
        </a:prstGeom>
        <a:solidFill>
          <a:srgbClr val="2B4B8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479778</xdr:colOff>
      <xdr:row>0</xdr:row>
      <xdr:rowOff>169332</xdr:rowOff>
    </xdr:from>
    <xdr:to>
      <xdr:col>19</xdr:col>
      <xdr:colOff>338666</xdr:colOff>
      <xdr:row>31</xdr:row>
      <xdr:rowOff>119061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A805719A-49FA-9DB3-31B7-DD3D9FCD2346}"/>
            </a:ext>
          </a:extLst>
        </xdr:cNvPr>
        <xdr:cNvSpPr/>
      </xdr:nvSpPr>
      <xdr:spPr>
        <a:xfrm>
          <a:off x="2313341" y="169332"/>
          <a:ext cx="9637888" cy="5632979"/>
        </a:xfrm>
        <a:prstGeom prst="roundRect">
          <a:avLst>
            <a:gd name="adj" fmla="val 1178"/>
          </a:avLst>
        </a:prstGeom>
        <a:gradFill>
          <a:gsLst>
            <a:gs pos="0">
              <a:srgbClr val="E6E8EC"/>
            </a:gs>
            <a:gs pos="83000">
              <a:srgbClr val="F5F6FA"/>
            </a:gs>
            <a:gs pos="100000">
              <a:srgbClr val="F2F2F2"/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7938</xdr:colOff>
      <xdr:row>1</xdr:row>
      <xdr:rowOff>63501</xdr:rowOff>
    </xdr:from>
    <xdr:to>
      <xdr:col>19</xdr:col>
      <xdr:colOff>254000</xdr:colOff>
      <xdr:row>4</xdr:row>
      <xdr:rowOff>77611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051F247-7B8D-7872-6294-0C08F8C5503F}"/>
            </a:ext>
          </a:extLst>
        </xdr:cNvPr>
        <xdr:cNvSpPr txBox="1"/>
      </xdr:nvSpPr>
      <xdr:spPr>
        <a:xfrm>
          <a:off x="2452688" y="246064"/>
          <a:ext cx="9413875" cy="561797"/>
        </a:xfrm>
        <a:prstGeom prst="rect">
          <a:avLst/>
        </a:prstGeom>
        <a:solidFill>
          <a:schemeClr val="lt1"/>
        </a:solidFill>
        <a:ln w="9525" cmpd="sng">
          <a:solidFill>
            <a:srgbClr val="172C5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800" b="1"/>
            <a:t>Indian</a:t>
          </a:r>
          <a:r>
            <a:rPr lang="en-IN" sz="1800" b="1" baseline="0"/>
            <a:t> EV Market Analysis - 2024 Report</a:t>
          </a:r>
        </a:p>
        <a:p>
          <a:pPr algn="ctr"/>
          <a:r>
            <a:rPr lang="en-IN" sz="1100" baseline="0">
              <a:latin typeface="+mj-lt"/>
            </a:rPr>
            <a:t>Based on EV Sales Data from 2022 to 2024</a:t>
          </a:r>
          <a:endParaRPr lang="en-IN" sz="1100">
            <a:latin typeface="+mj-lt"/>
          </a:endParaRPr>
        </a:p>
      </xdr:txBody>
    </xdr:sp>
    <xdr:clientData/>
  </xdr:twoCellAnchor>
  <xdr:twoCellAnchor editAs="oneCell">
    <xdr:from>
      <xdr:col>16</xdr:col>
      <xdr:colOff>421924</xdr:colOff>
      <xdr:row>0</xdr:row>
      <xdr:rowOff>42334</xdr:rowOff>
    </xdr:from>
    <xdr:to>
      <xdr:col>19</xdr:col>
      <xdr:colOff>127000</xdr:colOff>
      <xdr:row>5</xdr:row>
      <xdr:rowOff>142052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88E4928-B073-1FA7-D7D0-D0DD465D5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30368" y="42334"/>
          <a:ext cx="1525410" cy="1016940"/>
        </a:xfrm>
        <a:prstGeom prst="rect">
          <a:avLst/>
        </a:prstGeom>
      </xdr:spPr>
    </xdr:pic>
    <xdr:clientData/>
  </xdr:twoCellAnchor>
  <xdr:twoCellAnchor>
    <xdr:from>
      <xdr:col>4</xdr:col>
      <xdr:colOff>14112</xdr:colOff>
      <xdr:row>4</xdr:row>
      <xdr:rowOff>165805</xdr:rowOff>
    </xdr:from>
    <xdr:to>
      <xdr:col>6</xdr:col>
      <xdr:colOff>470077</xdr:colOff>
      <xdr:row>8</xdr:row>
      <xdr:rowOff>151694</xdr:rowOff>
    </xdr:to>
    <xdr:sp macro="" textlink="KPIs!I5">
      <xdr:nvSpPr>
        <xdr:cNvPr id="7" name="Rectangle: Rounded Corners 6">
          <a:extLst>
            <a:ext uri="{FF2B5EF4-FFF2-40B4-BE49-F238E27FC236}">
              <a16:creationId xmlns:a16="http://schemas.microsoft.com/office/drawing/2014/main" id="{26DBE621-BEFB-29F5-5FAB-91E5A22242C4}"/>
            </a:ext>
          </a:extLst>
        </xdr:cNvPr>
        <xdr:cNvSpPr/>
      </xdr:nvSpPr>
      <xdr:spPr>
        <a:xfrm>
          <a:off x="2458862" y="896055"/>
          <a:ext cx="1678340" cy="716139"/>
        </a:xfrm>
        <a:prstGeom prst="roundRect">
          <a:avLst>
            <a:gd name="adj" fmla="val 14296"/>
          </a:avLst>
        </a:prstGeom>
        <a:solidFill>
          <a:schemeClr val="bg1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557865CF-5490-4980-8EAB-5FC07E802F51}" type="TxLink">
            <a:rPr lang="en-US" sz="2400" b="1" i="0" u="none" strike="noStrike">
              <a:solidFill>
                <a:schemeClr val="accent1">
                  <a:lumMod val="50000"/>
                </a:schemeClr>
              </a:solidFill>
              <a:latin typeface="Segoe UI Semibold" panose="020B0702040204020203" pitchFamily="34" charset="0"/>
              <a:ea typeface="Calibri"/>
              <a:cs typeface="Segoe UI Semibold" panose="020B0702040204020203" pitchFamily="34" charset="0"/>
            </a:rPr>
            <a:pPr algn="ctr"/>
            <a:t>2.07 M</a:t>
          </a:fld>
          <a:endParaRPr lang="en-IN" sz="2400" b="1">
            <a:solidFill>
              <a:schemeClr val="accent1">
                <a:lumMod val="50000"/>
              </a:schemeClr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4</xdr:col>
      <xdr:colOff>32987</xdr:colOff>
      <xdr:row>5</xdr:row>
      <xdr:rowOff>8247</xdr:rowOff>
    </xdr:from>
    <xdr:to>
      <xdr:col>6</xdr:col>
      <xdr:colOff>453571</xdr:colOff>
      <xdr:row>6</xdr:row>
      <xdr:rowOff>140195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631566F-B3BA-4D97-A0F5-FE62033AE0E2}"/>
            </a:ext>
          </a:extLst>
        </xdr:cNvPr>
        <xdr:cNvSpPr txBox="1"/>
      </xdr:nvSpPr>
      <xdr:spPr>
        <a:xfrm>
          <a:off x="2477737" y="921060"/>
          <a:ext cx="1642959" cy="3145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>
              <a:solidFill>
                <a:schemeClr val="tx1">
                  <a:lumMod val="65000"/>
                  <a:lumOff val="35000"/>
                </a:schemeClr>
              </a:solidFill>
            </a:rPr>
            <a:t>Total EV Sold</a:t>
          </a:r>
        </a:p>
      </xdr:txBody>
    </xdr:sp>
    <xdr:clientData/>
  </xdr:twoCellAnchor>
  <xdr:twoCellAnchor>
    <xdr:from>
      <xdr:col>7</xdr:col>
      <xdr:colOff>47626</xdr:colOff>
      <xdr:row>4</xdr:row>
      <xdr:rowOff>165805</xdr:rowOff>
    </xdr:from>
    <xdr:to>
      <xdr:col>9</xdr:col>
      <xdr:colOff>499182</xdr:colOff>
      <xdr:row>8</xdr:row>
      <xdr:rowOff>151694</xdr:rowOff>
    </xdr:to>
    <xdr:sp macro="" textlink="KPIs!J5">
      <xdr:nvSpPr>
        <xdr:cNvPr id="11" name="Rectangle: Rounded Corners 10">
          <a:extLst>
            <a:ext uri="{FF2B5EF4-FFF2-40B4-BE49-F238E27FC236}">
              <a16:creationId xmlns:a16="http://schemas.microsoft.com/office/drawing/2014/main" id="{47F1A5FF-94AF-4D8B-9B7B-BC8BB29AD77E}"/>
            </a:ext>
          </a:extLst>
        </xdr:cNvPr>
        <xdr:cNvSpPr/>
      </xdr:nvSpPr>
      <xdr:spPr>
        <a:xfrm>
          <a:off x="4325939" y="896055"/>
          <a:ext cx="1673931" cy="716139"/>
        </a:xfrm>
        <a:prstGeom prst="roundRect">
          <a:avLst>
            <a:gd name="adj" fmla="val 14296"/>
          </a:avLst>
        </a:prstGeom>
        <a:solidFill>
          <a:schemeClr val="bg1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69075CEA-CC93-4669-9550-577AA7764C60}" type="TxLink">
            <a:rPr lang="en-US" sz="2400" b="1" i="0" u="none" strike="noStrike">
              <a:solidFill>
                <a:srgbClr val="C00000"/>
              </a:solidFill>
              <a:latin typeface="Calibri"/>
              <a:ea typeface="Calibri"/>
              <a:cs typeface="Calibri"/>
            </a:rPr>
            <a:pPr algn="ctr"/>
            <a:t>-66.20</a:t>
          </a:fld>
          <a:endParaRPr lang="en-IN" sz="8800" b="1">
            <a:solidFill>
              <a:srgbClr val="C00000"/>
            </a:solidFill>
          </a:endParaRPr>
        </a:p>
      </xdr:txBody>
    </xdr:sp>
    <xdr:clientData/>
  </xdr:twoCellAnchor>
  <xdr:twoCellAnchor>
    <xdr:from>
      <xdr:col>7</xdr:col>
      <xdr:colOff>57727</xdr:colOff>
      <xdr:row>4</xdr:row>
      <xdr:rowOff>174280</xdr:rowOff>
    </xdr:from>
    <xdr:to>
      <xdr:col>9</xdr:col>
      <xdr:colOff>585519</xdr:colOff>
      <xdr:row>6</xdr:row>
      <xdr:rowOff>107209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041B269-909F-4C7D-AC20-5850EB5AA933}"/>
            </a:ext>
          </a:extLst>
        </xdr:cNvPr>
        <xdr:cNvSpPr txBox="1"/>
      </xdr:nvSpPr>
      <xdr:spPr>
        <a:xfrm>
          <a:off x="4329545" y="899994"/>
          <a:ext cx="1748312" cy="295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/>
          <a:r>
            <a:rPr lang="en-IN" sz="1400" b="1">
              <a:solidFill>
                <a:schemeClr val="tx1">
                  <a:lumMod val="65000"/>
                  <a:lumOff val="35000"/>
                </a:schemeClr>
              </a:solidFill>
            </a:rPr>
            <a:t>Revenue Growth (%)</a:t>
          </a:r>
          <a:endParaRPr lang="en-IN" sz="13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10</xdr:col>
      <xdr:colOff>116417</xdr:colOff>
      <xdr:row>4</xdr:row>
      <xdr:rowOff>165805</xdr:rowOff>
    </xdr:from>
    <xdr:to>
      <xdr:col>12</xdr:col>
      <xdr:colOff>567974</xdr:colOff>
      <xdr:row>8</xdr:row>
      <xdr:rowOff>151694</xdr:rowOff>
    </xdr:to>
    <xdr:sp macro="" textlink="KPIs!K5">
      <xdr:nvSpPr>
        <xdr:cNvPr id="16" name="Rectangle: Rounded Corners 15">
          <a:extLst>
            <a:ext uri="{FF2B5EF4-FFF2-40B4-BE49-F238E27FC236}">
              <a16:creationId xmlns:a16="http://schemas.microsoft.com/office/drawing/2014/main" id="{1020524B-5A7C-4862-86C5-6E0BF3819A8C}"/>
            </a:ext>
          </a:extLst>
        </xdr:cNvPr>
        <xdr:cNvSpPr/>
      </xdr:nvSpPr>
      <xdr:spPr>
        <a:xfrm>
          <a:off x="6228292" y="896055"/>
          <a:ext cx="1673932" cy="716139"/>
        </a:xfrm>
        <a:prstGeom prst="roundRect">
          <a:avLst>
            <a:gd name="adj" fmla="val 14296"/>
          </a:avLst>
        </a:prstGeom>
        <a:solidFill>
          <a:schemeClr val="bg1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C9C092CC-2321-448C-842E-AA4B6F33F176}" type="TxLink">
            <a:rPr lang="en-US" sz="24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3.61</a:t>
          </a:fld>
          <a:endParaRPr lang="en-IN" sz="239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13</xdr:col>
      <xdr:colOff>185209</xdr:colOff>
      <xdr:row>4</xdr:row>
      <xdr:rowOff>165805</xdr:rowOff>
    </xdr:from>
    <xdr:to>
      <xdr:col>16</xdr:col>
      <xdr:colOff>29988</xdr:colOff>
      <xdr:row>8</xdr:row>
      <xdr:rowOff>151694</xdr:rowOff>
    </xdr:to>
    <xdr:sp macro="" textlink="KPIs!M5">
      <xdr:nvSpPr>
        <xdr:cNvPr id="17" name="Rectangle: Rounded Corners 16">
          <a:extLst>
            <a:ext uri="{FF2B5EF4-FFF2-40B4-BE49-F238E27FC236}">
              <a16:creationId xmlns:a16="http://schemas.microsoft.com/office/drawing/2014/main" id="{10B8D645-9F57-423D-8A2E-2D8CE74608B7}"/>
            </a:ext>
          </a:extLst>
        </xdr:cNvPr>
        <xdr:cNvSpPr/>
      </xdr:nvSpPr>
      <xdr:spPr>
        <a:xfrm>
          <a:off x="8130647" y="896055"/>
          <a:ext cx="1678341" cy="716139"/>
        </a:xfrm>
        <a:prstGeom prst="roundRect">
          <a:avLst>
            <a:gd name="adj" fmla="val 12080"/>
          </a:avLst>
        </a:prstGeom>
        <a:solidFill>
          <a:schemeClr val="bg1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34CA48B7-BAC2-4039-883A-F4B7A667AEFC}" type="TxLink">
            <a:rPr lang="en-US" sz="24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-31.21%</a:t>
          </a:fld>
          <a:endParaRPr lang="en-IN" sz="239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16</xdr:col>
      <xdr:colOff>254000</xdr:colOff>
      <xdr:row>4</xdr:row>
      <xdr:rowOff>177799</xdr:rowOff>
    </xdr:from>
    <xdr:to>
      <xdr:col>19</xdr:col>
      <xdr:colOff>242713</xdr:colOff>
      <xdr:row>8</xdr:row>
      <xdr:rowOff>139700</xdr:rowOff>
    </xdr:to>
    <xdr:sp macro="" textlink="KPIs!L5">
      <xdr:nvSpPr>
        <xdr:cNvPr id="18" name="Rectangle: Rounded Corners 17">
          <a:extLst>
            <a:ext uri="{FF2B5EF4-FFF2-40B4-BE49-F238E27FC236}">
              <a16:creationId xmlns:a16="http://schemas.microsoft.com/office/drawing/2014/main" id="{3DFB68A3-AF57-4521-B2E0-7F9ECB49ED5A}"/>
            </a:ext>
          </a:extLst>
        </xdr:cNvPr>
        <xdr:cNvSpPr/>
      </xdr:nvSpPr>
      <xdr:spPr>
        <a:xfrm>
          <a:off x="9984704" y="929067"/>
          <a:ext cx="1813220" cy="713168"/>
        </a:xfrm>
        <a:prstGeom prst="roundRect">
          <a:avLst>
            <a:gd name="adj" fmla="val 8157"/>
          </a:avLst>
        </a:prstGeom>
        <a:solidFill>
          <a:schemeClr val="bg1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7778FE5-FBA0-4E80-A73C-98A2B4F72A13}" type="TxLink">
            <a:rPr lang="en-US" sz="14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Maharashtra</a:t>
          </a:fld>
          <a:endParaRPr lang="en-IN" sz="115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10</xdr:col>
      <xdr:colOff>131949</xdr:colOff>
      <xdr:row>4</xdr:row>
      <xdr:rowOff>164935</xdr:rowOff>
    </xdr:from>
    <xdr:to>
      <xdr:col>12</xdr:col>
      <xdr:colOff>569027</xdr:colOff>
      <xdr:row>6</xdr:row>
      <xdr:rowOff>90715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47A26FB-6565-4082-88E5-9EDC322D0A6A}"/>
            </a:ext>
          </a:extLst>
        </xdr:cNvPr>
        <xdr:cNvSpPr txBox="1"/>
      </xdr:nvSpPr>
      <xdr:spPr>
        <a:xfrm>
          <a:off x="6234546" y="890649"/>
          <a:ext cx="1657598" cy="2886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>
              <a:solidFill>
                <a:schemeClr val="tx1">
                  <a:lumMod val="65000"/>
                  <a:lumOff val="35000"/>
                </a:schemeClr>
              </a:solidFill>
            </a:rPr>
            <a:t>EV Penetration</a:t>
          </a:r>
          <a:r>
            <a:rPr lang="en-IN" sz="1400" b="1" baseline="0">
              <a:solidFill>
                <a:schemeClr val="tx1">
                  <a:lumMod val="65000"/>
                  <a:lumOff val="35000"/>
                </a:schemeClr>
              </a:solidFill>
            </a:rPr>
            <a:t> </a:t>
          </a:r>
          <a:r>
            <a:rPr lang="en-IN" sz="1400" b="1">
              <a:solidFill>
                <a:schemeClr val="tx1">
                  <a:lumMod val="65000"/>
                  <a:lumOff val="35000"/>
                </a:schemeClr>
              </a:solidFill>
            </a:rPr>
            <a:t>(%)</a:t>
          </a:r>
          <a:endParaRPr lang="en-IN" sz="13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13</xdr:col>
      <xdr:colOff>189676</xdr:colOff>
      <xdr:row>4</xdr:row>
      <xdr:rowOff>173183</xdr:rowOff>
    </xdr:from>
    <xdr:to>
      <xdr:col>16</xdr:col>
      <xdr:colOff>24741</xdr:colOff>
      <xdr:row>6</xdr:row>
      <xdr:rowOff>115456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E0B1A21-D6F2-4065-9EAD-2139E5110F61}"/>
            </a:ext>
          </a:extLst>
        </xdr:cNvPr>
        <xdr:cNvSpPr txBox="1"/>
      </xdr:nvSpPr>
      <xdr:spPr>
        <a:xfrm>
          <a:off x="8123053" y="898897"/>
          <a:ext cx="1665844" cy="3051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>
              <a:solidFill>
                <a:schemeClr val="tx1">
                  <a:lumMod val="65000"/>
                  <a:lumOff val="35000"/>
                </a:schemeClr>
              </a:solidFill>
            </a:rPr>
            <a:t>EV Sales CAGR (%)</a:t>
          </a:r>
          <a:endParaRPr lang="en-IN" sz="13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16</xdr:col>
      <xdr:colOff>341056</xdr:colOff>
      <xdr:row>4</xdr:row>
      <xdr:rowOff>144996</xdr:rowOff>
    </xdr:from>
    <xdr:to>
      <xdr:col>19</xdr:col>
      <xdr:colOff>333375</xdr:colOff>
      <xdr:row>6</xdr:row>
      <xdr:rowOff>98380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FDDA816B-F656-4A5E-BE68-9B592FCB5401}"/>
            </a:ext>
          </a:extLst>
        </xdr:cNvPr>
        <xdr:cNvSpPr txBox="1"/>
      </xdr:nvSpPr>
      <xdr:spPr>
        <a:xfrm>
          <a:off x="10120056" y="875246"/>
          <a:ext cx="1825882" cy="3185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solidFill>
                <a:schemeClr val="tx1">
                  <a:lumMod val="65000"/>
                  <a:lumOff val="35000"/>
                </a:schemeClr>
              </a:solidFill>
              <a:latin typeface="+mn-lt"/>
              <a:cs typeface="Segoe UI" panose="020B0502040204020203" pitchFamily="34" charset="0"/>
            </a:rPr>
            <a:t>Top State by</a:t>
          </a:r>
          <a:r>
            <a:rPr lang="en-IN" sz="1400" b="1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cs typeface="Segoe UI" panose="020B0502040204020203" pitchFamily="34" charset="0"/>
            </a:rPr>
            <a:t> </a:t>
          </a:r>
          <a:r>
            <a:rPr lang="en-IN" sz="1400" b="1">
              <a:solidFill>
                <a:schemeClr val="tx1">
                  <a:lumMod val="65000"/>
                  <a:lumOff val="35000"/>
                </a:schemeClr>
              </a:solidFill>
              <a:latin typeface="+mn-lt"/>
              <a:cs typeface="Segoe UI" panose="020B0502040204020203" pitchFamily="34" charset="0"/>
            </a:rPr>
            <a:t>EV Sales</a:t>
          </a:r>
        </a:p>
      </xdr:txBody>
    </xdr:sp>
    <xdr:clientData/>
  </xdr:twoCellAnchor>
  <xdr:twoCellAnchor>
    <xdr:from>
      <xdr:col>11</xdr:col>
      <xdr:colOff>553597</xdr:colOff>
      <xdr:row>9</xdr:row>
      <xdr:rowOff>78770</xdr:rowOff>
    </xdr:from>
    <xdr:to>
      <xdr:col>15</xdr:col>
      <xdr:colOff>331032</xdr:colOff>
      <xdr:row>19</xdr:row>
      <xdr:rowOff>48230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572F8C71-158D-4AA2-9B85-A632F8CAD6F6}"/>
            </a:ext>
          </a:extLst>
        </xdr:cNvPr>
        <xdr:cNvSpPr/>
      </xdr:nvSpPr>
      <xdr:spPr>
        <a:xfrm>
          <a:off x="7276660" y="1721833"/>
          <a:ext cx="2222185" cy="1818897"/>
        </a:xfrm>
        <a:prstGeom prst="roundRect">
          <a:avLst>
            <a:gd name="adj" fmla="val 4321"/>
          </a:avLst>
        </a:prstGeom>
        <a:solidFill>
          <a:schemeClr val="bg1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endParaRPr lang="en-US" sz="11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4</xdr:col>
      <xdr:colOff>10404</xdr:colOff>
      <xdr:row>9</xdr:row>
      <xdr:rowOff>71613</xdr:rowOff>
    </xdr:from>
    <xdr:to>
      <xdr:col>11</xdr:col>
      <xdr:colOff>452437</xdr:colOff>
      <xdr:row>19</xdr:row>
      <xdr:rowOff>55386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15D4076B-B15B-4146-8239-27FFF4C80B48}"/>
            </a:ext>
          </a:extLst>
        </xdr:cNvPr>
        <xdr:cNvSpPr/>
      </xdr:nvSpPr>
      <xdr:spPr>
        <a:xfrm>
          <a:off x="2455154" y="1714676"/>
          <a:ext cx="4720346" cy="1833210"/>
        </a:xfrm>
        <a:prstGeom prst="roundRect">
          <a:avLst>
            <a:gd name="adj" fmla="val 4321"/>
          </a:avLst>
        </a:prstGeom>
        <a:solidFill>
          <a:schemeClr val="bg1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endParaRPr lang="en-US" sz="11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4</xdr:col>
      <xdr:colOff>55563</xdr:colOff>
      <xdr:row>10</xdr:row>
      <xdr:rowOff>128984</xdr:rowOff>
    </xdr:from>
    <xdr:to>
      <xdr:col>12</xdr:col>
      <xdr:colOff>15875</xdr:colOff>
      <xdr:row>19</xdr:row>
      <xdr:rowOff>55562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5E57211-4AAD-4173-9C4C-D818AD3437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7938</xdr:colOff>
      <xdr:row>19</xdr:row>
      <xdr:rowOff>169749</xdr:rowOff>
    </xdr:from>
    <xdr:to>
      <xdr:col>9</xdr:col>
      <xdr:colOff>214312</xdr:colOff>
      <xdr:row>31</xdr:row>
      <xdr:rowOff>58624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E076E808-674F-4377-9E0C-1AE6C65653B0}"/>
            </a:ext>
          </a:extLst>
        </xdr:cNvPr>
        <xdr:cNvSpPr/>
      </xdr:nvSpPr>
      <xdr:spPr>
        <a:xfrm>
          <a:off x="2452688" y="3662249"/>
          <a:ext cx="3262312" cy="2079625"/>
        </a:xfrm>
        <a:prstGeom prst="roundRect">
          <a:avLst>
            <a:gd name="adj" fmla="val 4321"/>
          </a:avLst>
        </a:prstGeom>
        <a:solidFill>
          <a:schemeClr val="bg1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endParaRPr lang="en-US" sz="11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13</xdr:col>
      <xdr:colOff>547687</xdr:colOff>
      <xdr:row>10</xdr:row>
      <xdr:rowOff>55562</xdr:rowOff>
    </xdr:from>
    <xdr:to>
      <xdr:col>18</xdr:col>
      <xdr:colOff>547688</xdr:colOff>
      <xdr:row>19</xdr:row>
      <xdr:rowOff>79375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3563162-774E-4174-BAB5-22471D5C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587375</xdr:colOff>
      <xdr:row>10</xdr:row>
      <xdr:rowOff>103188</xdr:rowOff>
    </xdr:from>
    <xdr:to>
      <xdr:col>15</xdr:col>
      <xdr:colOff>349250</xdr:colOff>
      <xdr:row>19</xdr:row>
      <xdr:rowOff>15874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5B842072-1635-4340-9A5F-1E913E6120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55562</xdr:colOff>
      <xdr:row>19</xdr:row>
      <xdr:rowOff>176212</xdr:rowOff>
    </xdr:from>
    <xdr:to>
      <xdr:col>19</xdr:col>
      <xdr:colOff>230188</xdr:colOff>
      <xdr:row>24</xdr:row>
      <xdr:rowOff>165553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A363393C-DA93-499D-ABAE-F0AA2551CED4}"/>
            </a:ext>
          </a:extLst>
        </xdr:cNvPr>
        <xdr:cNvSpPr/>
      </xdr:nvSpPr>
      <xdr:spPr>
        <a:xfrm>
          <a:off x="9223375" y="3644900"/>
          <a:ext cx="2619376" cy="902153"/>
        </a:xfrm>
        <a:prstGeom prst="roundRect">
          <a:avLst>
            <a:gd name="adj" fmla="val 4321"/>
          </a:avLst>
        </a:prstGeom>
        <a:solidFill>
          <a:schemeClr val="bg1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endParaRPr lang="en-US" sz="11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oneCell">
    <xdr:from>
      <xdr:col>15</xdr:col>
      <xdr:colOff>116443</xdr:colOff>
      <xdr:row>21</xdr:row>
      <xdr:rowOff>42997</xdr:rowOff>
    </xdr:from>
    <xdr:to>
      <xdr:col>19</xdr:col>
      <xdr:colOff>152153</xdr:colOff>
      <xdr:row>24</xdr:row>
      <xdr:rowOff>126681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DF724BD-0A49-EFE1-AF63-834A2CBF2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4256" y="3876810"/>
          <a:ext cx="2480460" cy="6313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55563</xdr:colOff>
      <xdr:row>20</xdr:row>
      <xdr:rowOff>167820</xdr:rowOff>
    </xdr:from>
    <xdr:to>
      <xdr:col>9</xdr:col>
      <xdr:colOff>103186</xdr:colOff>
      <xdr:row>31</xdr:row>
      <xdr:rowOff>23812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893C95D0-33EA-4622-8D97-3713439EA8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4</xdr:col>
      <xdr:colOff>97013</xdr:colOff>
      <xdr:row>0</xdr:row>
      <xdr:rowOff>52916</xdr:rowOff>
    </xdr:from>
    <xdr:to>
      <xdr:col>6</xdr:col>
      <xdr:colOff>255764</xdr:colOff>
      <xdr:row>5</xdr:row>
      <xdr:rowOff>52917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2D3F0791-5C1A-AB6D-8ADB-E8CD518C6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1180" y="52916"/>
          <a:ext cx="1375834" cy="926043"/>
        </a:xfrm>
        <a:prstGeom prst="rect">
          <a:avLst/>
        </a:prstGeom>
      </xdr:spPr>
    </xdr:pic>
    <xdr:clientData/>
  </xdr:twoCellAnchor>
  <xdr:twoCellAnchor>
    <xdr:from>
      <xdr:col>9</xdr:col>
      <xdr:colOff>378731</xdr:colOff>
      <xdr:row>19</xdr:row>
      <xdr:rowOff>162718</xdr:rowOff>
    </xdr:from>
    <xdr:to>
      <xdr:col>14</xdr:col>
      <xdr:colOff>502331</xdr:colOff>
      <xdr:row>31</xdr:row>
      <xdr:rowOff>65654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F64FBC31-1ED4-4DF7-A5A0-553BC9E3C620}"/>
            </a:ext>
          </a:extLst>
        </xdr:cNvPr>
        <xdr:cNvSpPr/>
      </xdr:nvSpPr>
      <xdr:spPr>
        <a:xfrm>
          <a:off x="5879419" y="3655218"/>
          <a:ext cx="3179537" cy="2093686"/>
        </a:xfrm>
        <a:prstGeom prst="roundRect">
          <a:avLst>
            <a:gd name="adj" fmla="val 4193"/>
          </a:avLst>
        </a:prstGeom>
        <a:solidFill>
          <a:schemeClr val="bg1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endParaRPr lang="en-US" sz="11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oneCell">
    <xdr:from>
      <xdr:col>9</xdr:col>
      <xdr:colOff>468312</xdr:colOff>
      <xdr:row>21</xdr:row>
      <xdr:rowOff>55562</xdr:rowOff>
    </xdr:from>
    <xdr:to>
      <xdr:col>14</xdr:col>
      <xdr:colOff>436563</xdr:colOff>
      <xdr:row>31</xdr:row>
      <xdr:rowOff>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EFC3FDDE-2ED8-D870-D2BB-C4CACB291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9000" y="3889375"/>
          <a:ext cx="3024188" cy="1770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47625</xdr:colOff>
      <xdr:row>25</xdr:row>
      <xdr:rowOff>89299</xdr:rowOff>
    </xdr:from>
    <xdr:to>
      <xdr:col>19</xdr:col>
      <xdr:colOff>244248</xdr:colOff>
      <xdr:row>31</xdr:row>
      <xdr:rowOff>49214</xdr:rowOff>
    </xdr:to>
    <xdr:sp macro="" textlink="">
      <xdr:nvSpPr>
        <xdr:cNvPr id="34" name="Rectangle: Rounded Corners 33">
          <a:extLst>
            <a:ext uri="{FF2B5EF4-FFF2-40B4-BE49-F238E27FC236}">
              <a16:creationId xmlns:a16="http://schemas.microsoft.com/office/drawing/2014/main" id="{FDD90583-E872-4F05-B50C-81CE55E09F02}"/>
            </a:ext>
          </a:extLst>
        </xdr:cNvPr>
        <xdr:cNvSpPr/>
      </xdr:nvSpPr>
      <xdr:spPr>
        <a:xfrm>
          <a:off x="9215438" y="4653362"/>
          <a:ext cx="2641373" cy="1055290"/>
        </a:xfrm>
        <a:prstGeom prst="roundRect">
          <a:avLst>
            <a:gd name="adj" fmla="val 4321"/>
          </a:avLst>
        </a:prstGeom>
        <a:solidFill>
          <a:schemeClr val="bg1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endParaRPr lang="en-US" sz="11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4</xdr:col>
      <xdr:colOff>23814</xdr:colOff>
      <xdr:row>9</xdr:row>
      <xdr:rowOff>66980</xdr:rowOff>
    </xdr:from>
    <xdr:to>
      <xdr:col>11</xdr:col>
      <xdr:colOff>468313</xdr:colOff>
      <xdr:row>10</xdr:row>
      <xdr:rowOff>174626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C92D66FA-6362-4F4A-863C-33D81CC67C6F}"/>
            </a:ext>
          </a:extLst>
        </xdr:cNvPr>
        <xdr:cNvSpPr txBox="1"/>
      </xdr:nvSpPr>
      <xdr:spPr>
        <a:xfrm>
          <a:off x="2468564" y="1710043"/>
          <a:ext cx="4722812" cy="2902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>
              <a:solidFill>
                <a:schemeClr val="tx1">
                  <a:lumMod val="65000"/>
                  <a:lumOff val="35000"/>
                </a:schemeClr>
              </a:solidFill>
            </a:rPr>
            <a:t>EV Sales Trend by Month</a:t>
          </a:r>
          <a:endParaRPr lang="en-IN" sz="14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4</xdr:col>
      <xdr:colOff>23814</xdr:colOff>
      <xdr:row>19</xdr:row>
      <xdr:rowOff>181677</xdr:rowOff>
    </xdr:from>
    <xdr:to>
      <xdr:col>9</xdr:col>
      <xdr:colOff>214312</xdr:colOff>
      <xdr:row>21</xdr:row>
      <xdr:rowOff>158750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A70A5304-8F81-4380-9F1D-03DE03667364}"/>
            </a:ext>
          </a:extLst>
        </xdr:cNvPr>
        <xdr:cNvSpPr txBox="1"/>
      </xdr:nvSpPr>
      <xdr:spPr>
        <a:xfrm>
          <a:off x="2468564" y="3650365"/>
          <a:ext cx="3246436" cy="3421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>
              <a:solidFill>
                <a:schemeClr val="tx1">
                  <a:lumMod val="65000"/>
                  <a:lumOff val="35000"/>
                </a:schemeClr>
              </a:solidFill>
            </a:rPr>
            <a:t>Top States by EV Penetration Rate (2024)</a:t>
          </a:r>
          <a:endParaRPr lang="en-IN" sz="14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15</xdr:col>
      <xdr:colOff>480264</xdr:colOff>
      <xdr:row>9</xdr:row>
      <xdr:rowOff>85914</xdr:rowOff>
    </xdr:from>
    <xdr:to>
      <xdr:col>19</xdr:col>
      <xdr:colOff>238126</xdr:colOff>
      <xdr:row>19</xdr:row>
      <xdr:rowOff>41086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55293D37-AFD5-4B29-A9BA-F1C5B16BA8C4}"/>
            </a:ext>
          </a:extLst>
        </xdr:cNvPr>
        <xdr:cNvSpPr/>
      </xdr:nvSpPr>
      <xdr:spPr>
        <a:xfrm>
          <a:off x="9648077" y="1728977"/>
          <a:ext cx="2202612" cy="1804609"/>
        </a:xfrm>
        <a:prstGeom prst="roundRect">
          <a:avLst>
            <a:gd name="adj" fmla="val 4321"/>
          </a:avLst>
        </a:prstGeom>
        <a:solidFill>
          <a:schemeClr val="bg1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endParaRPr lang="en-US" sz="11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15</xdr:col>
      <xdr:colOff>449421</xdr:colOff>
      <xdr:row>10</xdr:row>
      <xdr:rowOff>161769</xdr:rowOff>
    </xdr:from>
    <xdr:to>
      <xdr:col>19</xdr:col>
      <xdr:colOff>182563</xdr:colOff>
      <xdr:row>19</xdr:row>
      <xdr:rowOff>26831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17DD0DEB-6AE5-4002-A955-834C24C8DE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603249</xdr:colOff>
      <xdr:row>9</xdr:row>
      <xdr:rowOff>103187</xdr:rowOff>
    </xdr:from>
    <xdr:to>
      <xdr:col>15</xdr:col>
      <xdr:colOff>438149</xdr:colOff>
      <xdr:row>10</xdr:row>
      <xdr:rowOff>174626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5EF73C94-8C8B-40F0-974D-15F0B52169BF}"/>
            </a:ext>
          </a:extLst>
        </xdr:cNvPr>
        <xdr:cNvSpPr txBox="1"/>
      </xdr:nvSpPr>
      <xdr:spPr>
        <a:xfrm>
          <a:off x="7326312" y="1746250"/>
          <a:ext cx="2279650" cy="2540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Top</a:t>
          </a:r>
          <a:r>
            <a:rPr lang="en-IN" sz="1400" b="1">
              <a:solidFill>
                <a:schemeClr val="tx1">
                  <a:lumMod val="65000"/>
                  <a:lumOff val="35000"/>
                </a:schemeClr>
              </a:solidFill>
            </a:rPr>
            <a:t> 5 EV Makers (2W)</a:t>
          </a:r>
          <a:endParaRPr lang="en-IN" sz="13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15</xdr:col>
      <xdr:colOff>500063</xdr:colOff>
      <xdr:row>9</xdr:row>
      <xdr:rowOff>54281</xdr:rowOff>
    </xdr:from>
    <xdr:to>
      <xdr:col>19</xdr:col>
      <xdr:colOff>214313</xdr:colOff>
      <xdr:row>11</xdr:row>
      <xdr:rowOff>31750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5616A82F-378F-45C9-B857-0BA0D474D333}"/>
            </a:ext>
          </a:extLst>
        </xdr:cNvPr>
        <xdr:cNvSpPr txBox="1"/>
      </xdr:nvSpPr>
      <xdr:spPr>
        <a:xfrm>
          <a:off x="9667876" y="1697344"/>
          <a:ext cx="2159000" cy="3425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>
              <a:solidFill>
                <a:schemeClr val="tx1">
                  <a:lumMod val="65000"/>
                  <a:lumOff val="35000"/>
                </a:schemeClr>
              </a:solidFill>
            </a:rPr>
            <a:t>Bottom 5 EV Makers (2W)</a:t>
          </a:r>
          <a:endParaRPr lang="en-IN" sz="13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9</xdr:col>
      <xdr:colOff>381001</xdr:colOff>
      <xdr:row>19</xdr:row>
      <xdr:rowOff>158749</xdr:rowOff>
    </xdr:from>
    <xdr:to>
      <xdr:col>14</xdr:col>
      <xdr:colOff>500064</xdr:colOff>
      <xdr:row>21</xdr:row>
      <xdr:rowOff>73025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789A4B6-1871-442E-BFB3-D503189B3C4E}"/>
            </a:ext>
          </a:extLst>
        </xdr:cNvPr>
        <xdr:cNvSpPr txBox="1"/>
      </xdr:nvSpPr>
      <xdr:spPr>
        <a:xfrm>
          <a:off x="5881689" y="3627437"/>
          <a:ext cx="3175000" cy="2794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>
              <a:solidFill>
                <a:schemeClr val="tx1">
                  <a:lumMod val="65000"/>
                  <a:lumOff val="35000"/>
                </a:schemeClr>
              </a:solidFill>
            </a:rPr>
            <a:t>EV Sales Forecast (2030)</a:t>
          </a:r>
        </a:p>
      </xdr:txBody>
    </xdr:sp>
    <xdr:clientData/>
  </xdr:twoCellAnchor>
  <xdr:twoCellAnchor>
    <xdr:from>
      <xdr:col>15</xdr:col>
      <xdr:colOff>79375</xdr:colOff>
      <xdr:row>19</xdr:row>
      <xdr:rowOff>158750</xdr:rowOff>
    </xdr:from>
    <xdr:to>
      <xdr:col>19</xdr:col>
      <xdr:colOff>222250</xdr:colOff>
      <xdr:row>21</xdr:row>
      <xdr:rowOff>31750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8384E91-709A-412E-856E-A94DE658AB9D}"/>
            </a:ext>
          </a:extLst>
        </xdr:cNvPr>
        <xdr:cNvSpPr txBox="1"/>
      </xdr:nvSpPr>
      <xdr:spPr>
        <a:xfrm>
          <a:off x="9247188" y="3627438"/>
          <a:ext cx="25876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>
              <a:solidFill>
                <a:schemeClr val="tx1">
                  <a:lumMod val="65000"/>
                  <a:lumOff val="35000"/>
                </a:schemeClr>
              </a:solidFill>
            </a:rPr>
            <a:t>Revenue Growth (2W vs 4W)</a:t>
          </a:r>
        </a:p>
      </xdr:txBody>
    </xdr:sp>
    <xdr:clientData/>
  </xdr:twoCellAnchor>
  <xdr:twoCellAnchor>
    <xdr:from>
      <xdr:col>15</xdr:col>
      <xdr:colOff>71437</xdr:colOff>
      <xdr:row>25</xdr:row>
      <xdr:rowOff>79375</xdr:rowOff>
    </xdr:from>
    <xdr:to>
      <xdr:col>19</xdr:col>
      <xdr:colOff>238126</xdr:colOff>
      <xdr:row>26</xdr:row>
      <xdr:rowOff>134938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A72DB797-87A5-44B9-A42D-7F019CB2CA99}"/>
            </a:ext>
          </a:extLst>
        </xdr:cNvPr>
        <xdr:cNvSpPr txBox="1"/>
      </xdr:nvSpPr>
      <xdr:spPr>
        <a:xfrm>
          <a:off x="9239250" y="4643438"/>
          <a:ext cx="2611439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>
              <a:solidFill>
                <a:schemeClr val="tx1">
                  <a:lumMod val="65000"/>
                  <a:lumOff val="35000"/>
                </a:schemeClr>
              </a:solidFill>
            </a:rPr>
            <a:t>Delhi vs Karnataka</a:t>
          </a:r>
          <a:endParaRPr lang="en-IN" sz="14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 editAs="oneCell">
    <xdr:from>
      <xdr:col>15</xdr:col>
      <xdr:colOff>103187</xdr:colOff>
      <xdr:row>26</xdr:row>
      <xdr:rowOff>119062</xdr:rowOff>
    </xdr:from>
    <xdr:to>
      <xdr:col>19</xdr:col>
      <xdr:colOff>214312</xdr:colOff>
      <xdr:row>30</xdr:row>
      <xdr:rowOff>180694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1537DDDB-6DC9-4534-90E3-51788A3BB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71000" y="4889500"/>
          <a:ext cx="2555875" cy="791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143099</xdr:colOff>
      <xdr:row>6</xdr:row>
      <xdr:rowOff>152043</xdr:rowOff>
    </xdr:from>
    <xdr:to>
      <xdr:col>18</xdr:col>
      <xdr:colOff>420353</xdr:colOff>
      <xdr:row>9</xdr:row>
      <xdr:rowOff>26831</xdr:rowOff>
    </xdr:to>
    <xdr:sp macro="" textlink="KPIs!B19">
      <xdr:nvSpPr>
        <xdr:cNvPr id="39" name="TextBox 38">
          <a:extLst>
            <a:ext uri="{FF2B5EF4-FFF2-40B4-BE49-F238E27FC236}">
              <a16:creationId xmlns:a16="http://schemas.microsoft.com/office/drawing/2014/main" id="{AB9DDF5A-EBE0-31A6-9967-62E5880A69AB}"/>
            </a:ext>
          </a:extLst>
        </xdr:cNvPr>
        <xdr:cNvSpPr txBox="1"/>
      </xdr:nvSpPr>
      <xdr:spPr>
        <a:xfrm>
          <a:off x="10481972" y="1278944"/>
          <a:ext cx="885423" cy="4382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39295B1-1E84-40AE-B34D-17AECF8E75EB}" type="TxLink">
            <a:rPr lang="en-US" sz="20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/>
            <a:t>396K</a:t>
          </a:fld>
          <a:endParaRPr lang="en-IN" sz="20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7</xdr:col>
      <xdr:colOff>309561</xdr:colOff>
      <xdr:row>7</xdr:row>
      <xdr:rowOff>15875</xdr:rowOff>
    </xdr:from>
    <xdr:to>
      <xdr:col>7</xdr:col>
      <xdr:colOff>422496</xdr:colOff>
      <xdr:row>7</xdr:row>
      <xdr:rowOff>142875</xdr:rowOff>
    </xdr:to>
    <xdr:sp macro="" textlink="">
      <xdr:nvSpPr>
        <xdr:cNvPr id="41" name="Arrow: Down 40">
          <a:extLst>
            <a:ext uri="{FF2B5EF4-FFF2-40B4-BE49-F238E27FC236}">
              <a16:creationId xmlns:a16="http://schemas.microsoft.com/office/drawing/2014/main" id="{2DBC4948-6EE1-CCBB-E710-56FB92AD5058}"/>
            </a:ext>
          </a:extLst>
        </xdr:cNvPr>
        <xdr:cNvSpPr/>
      </xdr:nvSpPr>
      <xdr:spPr>
        <a:xfrm>
          <a:off x="4587874" y="1293813"/>
          <a:ext cx="112935" cy="127000"/>
        </a:xfrm>
        <a:prstGeom prst="downArrow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4</xdr:col>
      <xdr:colOff>142874</xdr:colOff>
      <xdr:row>6</xdr:row>
      <xdr:rowOff>137901</xdr:rowOff>
    </xdr:from>
    <xdr:to>
      <xdr:col>4</xdr:col>
      <xdr:colOff>357134</xdr:colOff>
      <xdr:row>8</xdr:row>
      <xdr:rowOff>38267</xdr:rowOff>
    </xdr:to>
    <xdr:pic>
      <xdr:nvPicPr>
        <xdr:cNvPr id="43" name="Graphic 42" descr="Battery charging">
          <a:extLst>
            <a:ext uri="{FF2B5EF4-FFF2-40B4-BE49-F238E27FC236}">
              <a16:creationId xmlns:a16="http://schemas.microsoft.com/office/drawing/2014/main" id="{4A5C86CD-0459-9ECD-1B72-BF0940EA4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 rot="5400000">
          <a:off x="2562008" y="1258892"/>
          <a:ext cx="265491" cy="214260"/>
        </a:xfrm>
        <a:prstGeom prst="rect">
          <a:avLst/>
        </a:prstGeom>
      </xdr:spPr>
    </xdr:pic>
    <xdr:clientData/>
  </xdr:twoCellAnchor>
  <xdr:twoCellAnchor editAs="oneCell">
    <xdr:from>
      <xdr:col>16</xdr:col>
      <xdr:colOff>330702</xdr:colOff>
      <xdr:row>7</xdr:row>
      <xdr:rowOff>39989</xdr:rowOff>
    </xdr:from>
    <xdr:to>
      <xdr:col>17</xdr:col>
      <xdr:colOff>86287</xdr:colOff>
      <xdr:row>8</xdr:row>
      <xdr:rowOff>86286</xdr:rowOff>
    </xdr:to>
    <xdr:pic>
      <xdr:nvPicPr>
        <xdr:cNvPr id="49" name="Graphic 48" descr="Trophy">
          <a:extLst>
            <a:ext uri="{FF2B5EF4-FFF2-40B4-BE49-F238E27FC236}">
              <a16:creationId xmlns:a16="http://schemas.microsoft.com/office/drawing/2014/main" id="{ABB0A535-C992-2F18-C955-36E448196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0109702" y="1317927"/>
          <a:ext cx="366773" cy="228859"/>
        </a:xfrm>
        <a:prstGeom prst="rect">
          <a:avLst/>
        </a:prstGeom>
      </xdr:spPr>
    </xdr:pic>
    <xdr:clientData/>
  </xdr:twoCellAnchor>
  <xdr:twoCellAnchor editAs="oneCell">
    <xdr:from>
      <xdr:col>10</xdr:col>
      <xdr:colOff>341312</xdr:colOff>
      <xdr:row>6</xdr:row>
      <xdr:rowOff>158750</xdr:rowOff>
    </xdr:from>
    <xdr:to>
      <xdr:col>11</xdr:col>
      <xdr:colOff>61165</xdr:colOff>
      <xdr:row>8</xdr:row>
      <xdr:rowOff>30419</xdr:rowOff>
    </xdr:to>
    <xdr:pic>
      <xdr:nvPicPr>
        <xdr:cNvPr id="51" name="Graphic 50" descr="Lightning bolt">
          <a:extLst>
            <a:ext uri="{FF2B5EF4-FFF2-40B4-BE49-F238E27FC236}">
              <a16:creationId xmlns:a16="http://schemas.microsoft.com/office/drawing/2014/main" id="{A06083F2-FB9F-9028-3279-DF0452758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6453187" y="1254125"/>
          <a:ext cx="331041" cy="2367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0</xdr:colOff>
      <xdr:row>90</xdr:row>
      <xdr:rowOff>0</xdr:rowOff>
    </xdr:from>
    <xdr:to>
      <xdr:col>32</xdr:col>
      <xdr:colOff>139700</xdr:colOff>
      <xdr:row>94</xdr:row>
      <xdr:rowOff>107950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6C9B48-5BCD-E47E-A24C-74C813078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8850" y="16751300"/>
          <a:ext cx="2622550" cy="844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11" refreshedDate="46109.476143055559" createdVersion="8" refreshedVersion="8" minRefreshableVersion="3" recordCount="816" xr:uid="{93E56B0C-E54C-4837-8AA3-6F5E7DEF54D2}">
  <cacheSource type="worksheet">
    <worksheetSource name="electric_vehicle_sales_by_makers"/>
  </cacheSource>
  <cacheFields count="7">
    <cacheField name="date" numFmtId="14">
      <sharedItems containsSemiMixedTypes="0" containsNonDate="0" containsDate="1" containsString="0" minDate="2021-04-01T00:00:00" maxDate="2024-03-02T00:00:00" count="36">
        <d v="2021-04-01T00:00:00"/>
        <d v="2022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1-12-01T00:00:00"/>
        <d v="2022-12-01T00:00:00"/>
        <d v="2022-01-01T00:00:00"/>
        <d v="2023-01-01T00:00:00"/>
        <d v="2022-02-01T00:00:00"/>
        <d v="2023-02-01T00:00:00"/>
        <d v="2022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3-03-01T00:00:00"/>
        <d v="2024-03-01T00:00:00"/>
      </sharedItems>
      <fieldGroup par="6"/>
    </cacheField>
    <cacheField name="vehicle_category" numFmtId="0">
      <sharedItems count="2">
        <s v="2-Wheelers"/>
        <s v="4-Wheelers"/>
      </sharedItems>
    </cacheField>
    <cacheField name="maker" numFmtId="0">
      <sharedItems count="26">
        <s v="OLA ELECTRIC"/>
        <s v="OKAYA EV"/>
        <s v="BYD India"/>
        <s v="PCA Automobiles"/>
        <s v="BMW India"/>
        <s v="Volvo Auto India"/>
        <s v="KIA Motors"/>
        <s v="Mercedes -Benz AG"/>
        <s v="Tata Motors"/>
        <s v="MG Motor"/>
        <s v="Mahindra &amp; Mahindra"/>
        <s v="Hyundai Motor"/>
        <s v="HERO ELECTRIC"/>
        <s v="OKINAWA"/>
        <s v="AMPERE"/>
        <s v="ATHER"/>
        <s v="PURE EV"/>
        <s v="TVS"/>
        <s v="REVOLT"/>
        <s v="BAJAJ"/>
        <s v="BEING"/>
        <s v="JITENDRA"/>
        <s v="OTHERS"/>
        <s v="BGAUSS"/>
        <s v="BATTRE ELECTRIC"/>
        <s v="KINETIC GREEN"/>
      </sharedItems>
    </cacheField>
    <cacheField name="electric_vehicles_sold" numFmtId="0">
      <sharedItems containsSemiMixedTypes="0" containsString="0" containsNumber="1" containsInteger="1" minValue="0" maxValue="44630"/>
    </cacheField>
    <cacheField name="Months (date)" numFmtId="0" databaseField="0">
      <fieldGroup base="0">
        <rangePr groupBy="months" startDate="2021-04-01T00:00:00" endDate="2024-03-02T00:00:00"/>
        <groupItems count="14">
          <s v="&lt;01-04-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3-2024"/>
        </groupItems>
      </fieldGroup>
    </cacheField>
    <cacheField name="Quarters (date)" numFmtId="0" databaseField="0">
      <fieldGroup base="0">
        <rangePr groupBy="quarters" startDate="2021-04-01T00:00:00" endDate="2024-03-02T00:00:00"/>
        <groupItems count="6">
          <s v="&lt;01-04-2021"/>
          <s v="Qtr1"/>
          <s v="Qtr2"/>
          <s v="Qtr3"/>
          <s v="Qtr4"/>
          <s v="&gt;02-03-2024"/>
        </groupItems>
      </fieldGroup>
    </cacheField>
    <cacheField name="Years (date)" numFmtId="0" databaseField="0">
      <fieldGroup base="0">
        <rangePr groupBy="years" startDate="2021-04-01T00:00:00" endDate="2024-03-02T00:00:00"/>
        <groupItems count="6">
          <s v="&lt;01-04-2021"/>
          <s v="2021"/>
          <s v="2022"/>
          <s v="2023"/>
          <s v="2024"/>
          <s v="&gt;02-03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11" refreshedDate="46109.494718981485" createdVersion="8" refreshedVersion="8" minRefreshableVersion="3" recordCount="2445" xr:uid="{46682607-653B-4DAA-8037-6F2B3E7FA733}">
  <cacheSource type="worksheet">
    <worksheetSource name="electric_vehicle_sales_by_state"/>
  </cacheSource>
  <cacheFields count="8">
    <cacheField name="date" numFmtId="14">
      <sharedItems containsSemiMixedTypes="0" containsNonDate="0" containsDate="1" containsString="0" minDate="2021-04-01T00:00:00" maxDate="2024-03-02T00:00:00" count="36"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</sharedItems>
      <fieldGroup par="7"/>
    </cacheField>
    <cacheField name="state" numFmtId="0">
      <sharedItems count="35">
        <s v="Sikkim"/>
        <s v="Andaman &amp; Nicobar Island"/>
        <s v="Arunachal Pradesh"/>
        <s v="Assam"/>
        <s v="Chhattisgarh"/>
        <s v="DNH and DD"/>
        <s v="Jammu and Kashmir"/>
        <s v="Ladakh"/>
        <s v="Manipur"/>
        <s v="Meghalaya"/>
        <s v="Mizoram"/>
        <s v="Nagaland"/>
        <s v="Puducherry"/>
        <s v="Tripura"/>
        <s v="Bihar"/>
        <s v="Chandigarh"/>
        <s v="Delhi"/>
        <s v="Madhya Pradesh"/>
        <s v="Odisha"/>
        <s v="Punjab"/>
        <s v="Uttarakhand"/>
        <s v="Himachal Pradesh"/>
        <s v="Andaman &amp; Nicobar"/>
        <s v="Haryana"/>
        <s v="Jharkhand"/>
        <s v="Andhra Pradesh"/>
        <s v="Goa"/>
        <s v="Gujarat"/>
        <s v="Karnataka"/>
        <s v="Kerala"/>
        <s v="Maharashtra"/>
        <s v="Rajasthan"/>
        <s v="Tamil Nadu"/>
        <s v="Uttar Pradesh"/>
        <s v="West Bengal"/>
      </sharedItems>
    </cacheField>
    <cacheField name="vehicle_category" numFmtId="0">
      <sharedItems count="2">
        <s v="2-Wheelers"/>
        <s v="4-Wheelers"/>
      </sharedItems>
    </cacheField>
    <cacheField name="electric_vehicles_sold" numFmtId="0">
      <sharedItems containsSemiMixedTypes="0" containsString="0" containsNumber="1" containsInteger="1" minValue="0" maxValue="26668"/>
    </cacheField>
    <cacheField name="total_vehicles_sold" numFmtId="0">
      <sharedItems containsSemiMixedTypes="0" containsString="0" containsNumber="1" containsInteger="1" minValue="1" maxValue="387983"/>
    </cacheField>
    <cacheField name="Months (date)" numFmtId="0" databaseField="0">
      <fieldGroup base="0">
        <rangePr groupBy="months" startDate="2021-04-01T00:00:00" endDate="2024-03-02T00:00:00"/>
        <groupItems count="14">
          <s v="&lt;01-04-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3-2024"/>
        </groupItems>
      </fieldGroup>
    </cacheField>
    <cacheField name="Quarters (date)" numFmtId="0" databaseField="0">
      <fieldGroup base="0">
        <rangePr groupBy="quarters" startDate="2021-04-01T00:00:00" endDate="2024-03-02T00:00:00"/>
        <groupItems count="6">
          <s v="&lt;01-04-2021"/>
          <s v="Qtr1"/>
          <s v="Qtr2"/>
          <s v="Qtr3"/>
          <s v="Qtr4"/>
          <s v="&gt;02-03-2024"/>
        </groupItems>
      </fieldGroup>
    </cacheField>
    <cacheField name="Years (date)" numFmtId="0" databaseField="0">
      <fieldGroup base="0">
        <rangePr groupBy="years" startDate="2021-04-01T00:00:00" endDate="2024-03-02T00:00:00"/>
        <groupItems count="6">
          <s v="&lt;01-04-2021"/>
          <s v="2021"/>
          <s v="2022"/>
          <s v="2023"/>
          <s v="2024"/>
          <s v="&gt;02-03-2024"/>
        </groupItems>
      </fieldGroup>
    </cacheField>
  </cacheFields>
  <extLst>
    <ext xmlns:x14="http://schemas.microsoft.com/office/spreadsheetml/2009/9/main" uri="{725AE2AE-9491-48be-B2B4-4EB974FC3084}">
      <x14:pivotCacheDefinition pivotCacheId="1064036334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11" refreshedDate="46109.847408333335" backgroundQuery="1" createdVersion="8" refreshedVersion="8" minRefreshableVersion="3" recordCount="0" supportSubquery="1" supportAdvancedDrill="1" xr:uid="{E407D311-2D81-4B0F-AE94-86DCCEBBFB32}">
  <cacheSource type="external" connectionId="5"/>
  <cacheFields count="5">
    <cacheField name="[dim_date].[quarter].[quarter]" caption="quarter" numFmtId="0" hierarchy="2" level="1">
      <sharedItems count="4">
        <s v="Q1"/>
        <s v="Q2"/>
        <s v="Q3"/>
        <s v="Q4"/>
      </sharedItems>
    </cacheField>
    <cacheField name="[electric_vehicle_sales_by_makers].[maker].[maker]" caption="maker" numFmtId="0" hierarchy="9" level="1">
      <sharedItems count="5">
        <s v="BYD India"/>
        <s v="Hyundai Motor"/>
        <s v="Mahindra &amp; Mahindra"/>
        <s v="MG Motor"/>
        <s v="Tata Motors"/>
      </sharedItems>
    </cacheField>
    <cacheField name="[Measures].[Sum of electric_vehicles_sold]" caption="Sum of electric_vehicles_sold" numFmtId="0" hierarchy="21" level="32767"/>
    <cacheField name="[electric_vehicle_sales_by_makers].[vehicle_category].[vehicle_category]" caption="vehicle_category" numFmtId="0" hierarchy="8" level="1">
      <sharedItems containsSemiMixedTypes="0" containsNonDate="0" containsString="0"/>
    </cacheField>
    <cacheField name="[dim_date].[fiscal_year].[fiscal_year]" caption="fiscal_year" numFmtId="0" hierarchy="1" level="1">
      <sharedItems containsSemiMixedTypes="0" containsNonDate="0" containsString="0"/>
    </cacheField>
  </cacheFields>
  <cacheHierarchies count="23"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fiscal_year]" caption="fiscal_year" attribute="1" defaultMemberUniqueName="[dim_date].[fiscal_year].[All]" allUniqueName="[dim_date].[fiscal_year].[All]" dimensionUniqueName="[dim_date]" displayFolder="" count="2" memberValueDatatype="20" unbalanced="0">
      <fieldsUsage count="2">
        <fieldUsage x="-1"/>
        <fieldUsage x="4"/>
      </fieldsUsage>
    </cacheHierarchy>
    <cacheHierarchy uniqueName="[dim_date].[quarter]" caption="quarter" attribute="1" defaultMemberUniqueName="[dim_date].[quarter].[All]" allUniqueName="[dim_date].[quarter].[All]" dimensionUniqueName="[dim_date]" displayFolder="" count="2" memberValueDatatype="130" unbalanced="0">
      <fieldsUsage count="2">
        <fieldUsage x="-1"/>
        <fieldUsage x="0"/>
      </fieldsUsage>
    </cacheHierarchy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date (Year)]" caption="date (Year)" attribute="1" defaultMemberUniqueName="[dim_date].[date (Year)].[All]" allUniqueName="[dim_date].[date (Year)].[All]" dimensionUniqueName="[dim_date]" displayFolder="" count="0" memberValueDatatype="130" unbalanced="0"/>
    <cacheHierarchy uniqueName="[dim_date].[date (Quarter)]" caption="date (Quarter)" attribute="1" defaultMemberUniqueName="[dim_date].[date (Quarter)].[All]" allUniqueName="[dim_date].[date (Quarter)].[All]" dimensionUniqueName="[dim_date]" displayFolder="" count="0" memberValueDatatype="130" unbalanced="0"/>
    <cacheHierarchy uniqueName="[dim_date].[date (Month)]" caption="date (Month)" attribute="1" defaultMemberUniqueName="[dim_date].[date (Month)].[All]" allUniqueName="[dim_date].[date (Month)].[All]" dimensionUniqueName="[dim_date]" displayFolder="" count="0" memberValueDatatype="130" unbalanced="0"/>
    <cacheHierarchy uniqueName="[electric_vehicle_sales_by_makers].[date]" caption="date" attribute="1" time="1" defaultMemberUniqueName="[electric_vehicle_sales_by_makers].[date].[All]" allUniqueName="[electric_vehicle_sales_by_makers].[date].[All]" dimensionUniqueName="[electric_vehicle_sales_by_makers]" displayFolder="" count="0" memberValueDatatype="7" unbalanced="0"/>
    <cacheHierarchy uniqueName="[electric_vehicle_sales_by_makers].[vehicle_category]" caption="vehicle_category" attribute="1" defaultMemberUniqueName="[electric_vehicle_sales_by_makers].[vehicle_category].[All]" allUniqueName="[electric_vehicle_sales_by_makers].[vehicle_category].[All]" dimensionUniqueName="[electric_vehicle_sales_by_makers]" displayFolder="" count="2" memberValueDatatype="130" unbalanced="0">
      <fieldsUsage count="2">
        <fieldUsage x="-1"/>
        <fieldUsage x="3"/>
      </fieldsUsage>
    </cacheHierarchy>
    <cacheHierarchy uniqueName="[electric_vehicle_sales_by_makers].[maker]" caption="maker" attribute="1" defaultMemberUniqueName="[electric_vehicle_sales_by_makers].[maker].[All]" allUniqueName="[electric_vehicle_sales_by_makers].[maker].[All]" dimensionUniqueName="[electric_vehicle_sales_by_makers]" displayFolder="" count="2" memberValueDatatype="130" unbalanced="0">
      <fieldsUsage count="2">
        <fieldUsage x="-1"/>
        <fieldUsage x="1"/>
      </fieldsUsage>
    </cacheHierarchy>
    <cacheHierarchy uniqueName="[electric_vehicle_sales_by_makers].[electric_vehicles_sold]" caption="electric_vehicles_sold" attribute="1" defaultMemberUniqueName="[electric_vehicle_sales_by_makers].[electric_vehicles_sold].[All]" allUniqueName="[electric_vehicle_sales_by_makers].[electric_vehicles_sold].[All]" dimensionUniqueName="[electric_vehicle_sales_by_makers]" displayFolder="" count="0" memberValueDatatype="20" unbalanced="0"/>
    <cacheHierarchy uniqueName="[electric_vehicle_sales_by_state].[date]" caption="date" attribute="1" time="1" defaultMemberUniqueName="[electric_vehicle_sales_by_state].[date].[All]" allUniqueName="[electric_vehicle_sales_by_state].[date].[All]" dimensionUniqueName="[electric_vehicle_sales_by_state]" displayFolder="" count="0" memberValueDatatype="7" unbalanced="0"/>
    <cacheHierarchy uniqueName="[electric_vehicle_sales_by_state].[state]" caption="state" attribute="1" defaultMemberUniqueName="[electric_vehicle_sales_by_state].[state].[All]" allUniqueName="[electric_vehicle_sales_by_state].[state].[All]" dimensionUniqueName="[electric_vehicle_sales_by_state]" displayFolder="" count="0" memberValueDatatype="130" unbalanced="0"/>
    <cacheHierarchy uniqueName="[electric_vehicle_sales_by_state].[vehicle_category]" caption="vehicle_category" attribute="1" defaultMemberUniqueName="[electric_vehicle_sales_by_state].[vehicle_category].[All]" allUniqueName="[electric_vehicle_sales_by_state].[vehicle_category].[All]" dimensionUniqueName="[electric_vehicle_sales_by_state]" displayFolder="" count="0" memberValueDatatype="130" unbalanced="0"/>
    <cacheHierarchy uniqueName="[electric_vehicle_sales_by_state].[electric_vehicles_sold]" caption="electric_vehicles_sold" attribute="1" defaultMemberUniqueName="[electric_vehicle_sales_by_state].[electric_vehicles_sold].[All]" allUniqueName="[electric_vehicle_sales_by_state].[electric_vehicles_sold].[All]" dimensionUniqueName="[electric_vehicle_sales_by_state]" displayFolder="" count="0" memberValueDatatype="20" unbalanced="0"/>
    <cacheHierarchy uniqueName="[electric_vehicle_sales_by_state].[total_vehicles_sold]" caption="total_vehicles_sold" attribute="1" defaultMemberUniqueName="[electric_vehicle_sales_by_state].[total_vehicles_sold].[All]" allUniqueName="[electric_vehicle_sales_by_state].[total_vehicles_sold].[All]" dimensionUniqueName="[electric_vehicle_sales_by_state]" displayFolder="" count="0" memberValueDatatype="20" unbalanced="0"/>
    <cacheHierarchy uniqueName="[dim_date].[date (Month Index)]" caption="date (Month Index)" attribute="1" defaultMemberUniqueName="[dim_date].[date (Month Index)].[All]" allUniqueName="[dim_date].[date (Month Index)].[All]" dimensionUniqueName="[dim_date]" displayFolder="" count="0" memberValueDatatype="20" unbalanced="0" hidden="1"/>
    <cacheHierarchy uniqueName="[Measures].[__XL_Count electric_vehicle_sales_by_state]" caption="__XL_Count electric_vehicle_sales_by_state" measure="1" displayFolder="" measureGroup="electric_vehicle_sales_by_state" count="0" hidden="1"/>
    <cacheHierarchy uniqueName="[Measures].[__XL_Count electric_vehicle_sales_by_makers]" caption="__XL_Count electric_vehicle_sales_by_makers" measure="1" displayFolder="" measureGroup="electric_vehicle_sales_by_maker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electric_vehicles_sold]" caption="Sum of electric_vehicles_sold" measure="1" displayFolder="" measureGroup="electric_vehicle_sales_by_mak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electric_vehicles_sold 2]" caption="Sum of electric_vehicles_sold 2" measure="1" displayFolder="" measureGroup="electric_vehicle_sales_by_stat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4">
    <dimension name="dim_date" uniqueName="[dim_date]" caption="dim_date"/>
    <dimension name="electric_vehicle_sales_by_makers" uniqueName="[electric_vehicle_sales_by_makers]" caption="electric_vehicle_sales_by_makers"/>
    <dimension name="electric_vehicle_sales_by_state" uniqueName="[electric_vehicle_sales_by_state]" caption="electric_vehicle_sales_by_state"/>
    <dimension measure="1" name="Measures" uniqueName="[Measures]" caption="Measures"/>
  </dimensions>
  <measureGroups count="3">
    <measureGroup name="dim_date" caption="dim_date"/>
    <measureGroup name="electric_vehicle_sales_by_makers" caption="electric_vehicle_sales_by_makers"/>
    <measureGroup name="electric_vehicle_sales_by_state" caption="electric_vehicle_sales_by_state"/>
  </measureGroups>
  <maps count="5">
    <map measureGroup="0" dimension="0"/>
    <map measureGroup="1" dimension="0"/>
    <map measureGroup="1" dimension="1"/>
    <map measureGroup="2" dimension="0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11" refreshedDate="46109.847407060188" backgroundQuery="1" createdVersion="8" refreshedVersion="8" minRefreshableVersion="3" recordCount="0" supportSubquery="1" supportAdvancedDrill="1" xr:uid="{8ABFF91A-3DDD-44CF-97CB-3D35685AC69A}">
  <cacheSource type="external" connectionId="5"/>
  <cacheFields count="2">
    <cacheField name="[dim_date].[Month_Name].[Month_Name]" caption="Month_Name" numFmtId="0" hierarchy="3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Sum of electric_vehicles_sold]" caption="Sum of electric_vehicles_sold" numFmtId="0" hierarchy="21" level="32767"/>
  </cacheFields>
  <cacheHierarchies count="23"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fiscal_year]" caption="fiscal_year" attribute="1" defaultMemberUniqueName="[dim_date].[fiscal_year].[All]" allUniqueName="[dim_date].[fiscal_year].[All]" dimensionUniqueName="[dim_date]" displayFolder="" count="0" memberValueDatatype="2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130" unbalanced="0"/>
    <cacheHierarchy uniqueName="[dim_date].[Month_Name]" caption="Month_Name" attribute="1" defaultMemberUniqueName="[dim_date].[Month_Name].[All]" allUniqueName="[dim_date].[Month_Name].[All]" dimensionUniqueName="[dim_date]" displayFolder="" count="2" memberValueDatatype="130" unbalanced="0">
      <fieldsUsage count="2">
        <fieldUsage x="-1"/>
        <fieldUsage x="0"/>
      </fieldsUsage>
    </cacheHierarchy>
    <cacheHierarchy uniqueName="[dim_date].[date (Year)]" caption="date (Year)" attribute="1" defaultMemberUniqueName="[dim_date].[date (Year)].[All]" allUniqueName="[dim_date].[date (Year)].[All]" dimensionUniqueName="[dim_date]" displayFolder="" count="0" memberValueDatatype="130" unbalanced="0"/>
    <cacheHierarchy uniqueName="[dim_date].[date (Quarter)]" caption="date (Quarter)" attribute="1" defaultMemberUniqueName="[dim_date].[date (Quarter)].[All]" allUniqueName="[dim_date].[date (Quarter)].[All]" dimensionUniqueName="[dim_date]" displayFolder="" count="0" memberValueDatatype="130" unbalanced="0"/>
    <cacheHierarchy uniqueName="[dim_date].[date (Month)]" caption="date (Month)" attribute="1" defaultMemberUniqueName="[dim_date].[date (Month)].[All]" allUniqueName="[dim_date].[date (Month)].[All]" dimensionUniqueName="[dim_date]" displayFolder="" count="0" memberValueDatatype="130" unbalanced="0"/>
    <cacheHierarchy uniqueName="[electric_vehicle_sales_by_makers].[date]" caption="date" attribute="1" time="1" defaultMemberUniqueName="[electric_vehicle_sales_by_makers].[date].[All]" allUniqueName="[electric_vehicle_sales_by_makers].[date].[All]" dimensionUniqueName="[electric_vehicle_sales_by_makers]" displayFolder="" count="0" memberValueDatatype="7" unbalanced="0"/>
    <cacheHierarchy uniqueName="[electric_vehicle_sales_by_makers].[vehicle_category]" caption="vehicle_category" attribute="1" defaultMemberUniqueName="[electric_vehicle_sales_by_makers].[vehicle_category].[All]" allUniqueName="[electric_vehicle_sales_by_makers].[vehicle_category].[All]" dimensionUniqueName="[electric_vehicle_sales_by_makers]" displayFolder="" count="0" memberValueDatatype="130" unbalanced="0"/>
    <cacheHierarchy uniqueName="[electric_vehicle_sales_by_makers].[maker]" caption="maker" attribute="1" defaultMemberUniqueName="[electric_vehicle_sales_by_makers].[maker].[All]" allUniqueName="[electric_vehicle_sales_by_makers].[maker].[All]" dimensionUniqueName="[electric_vehicle_sales_by_makers]" displayFolder="" count="0" memberValueDatatype="130" unbalanced="0"/>
    <cacheHierarchy uniqueName="[electric_vehicle_sales_by_makers].[electric_vehicles_sold]" caption="electric_vehicles_sold" attribute="1" defaultMemberUniqueName="[electric_vehicle_sales_by_makers].[electric_vehicles_sold].[All]" allUniqueName="[electric_vehicle_sales_by_makers].[electric_vehicles_sold].[All]" dimensionUniqueName="[electric_vehicle_sales_by_makers]" displayFolder="" count="0" memberValueDatatype="20" unbalanced="0"/>
    <cacheHierarchy uniqueName="[electric_vehicle_sales_by_state].[date]" caption="date" attribute="1" time="1" defaultMemberUniqueName="[electric_vehicle_sales_by_state].[date].[All]" allUniqueName="[electric_vehicle_sales_by_state].[date].[All]" dimensionUniqueName="[electric_vehicle_sales_by_state]" displayFolder="" count="0" memberValueDatatype="7" unbalanced="0"/>
    <cacheHierarchy uniqueName="[electric_vehicle_sales_by_state].[state]" caption="state" attribute="1" defaultMemberUniqueName="[electric_vehicle_sales_by_state].[state].[All]" allUniqueName="[electric_vehicle_sales_by_state].[state].[All]" dimensionUniqueName="[electric_vehicle_sales_by_state]" displayFolder="" count="0" memberValueDatatype="130" unbalanced="0"/>
    <cacheHierarchy uniqueName="[electric_vehicle_sales_by_state].[vehicle_category]" caption="vehicle_category" attribute="1" defaultMemberUniqueName="[electric_vehicle_sales_by_state].[vehicle_category].[All]" allUniqueName="[electric_vehicle_sales_by_state].[vehicle_category].[All]" dimensionUniqueName="[electric_vehicle_sales_by_state]" displayFolder="" count="0" memberValueDatatype="130" unbalanced="0"/>
    <cacheHierarchy uniqueName="[electric_vehicle_sales_by_state].[electric_vehicles_sold]" caption="electric_vehicles_sold" attribute="1" defaultMemberUniqueName="[electric_vehicle_sales_by_state].[electric_vehicles_sold].[All]" allUniqueName="[electric_vehicle_sales_by_state].[electric_vehicles_sold].[All]" dimensionUniqueName="[electric_vehicle_sales_by_state]" displayFolder="" count="0" memberValueDatatype="20" unbalanced="0"/>
    <cacheHierarchy uniqueName="[electric_vehicle_sales_by_state].[total_vehicles_sold]" caption="total_vehicles_sold" attribute="1" defaultMemberUniqueName="[electric_vehicle_sales_by_state].[total_vehicles_sold].[All]" allUniqueName="[electric_vehicle_sales_by_state].[total_vehicles_sold].[All]" dimensionUniqueName="[electric_vehicle_sales_by_state]" displayFolder="" count="0" memberValueDatatype="20" unbalanced="0"/>
    <cacheHierarchy uniqueName="[dim_date].[date (Month Index)]" caption="date (Month Index)" attribute="1" defaultMemberUniqueName="[dim_date].[date (Month Index)].[All]" allUniqueName="[dim_date].[date (Month Index)].[All]" dimensionUniqueName="[dim_date]" displayFolder="" count="0" memberValueDatatype="20" unbalanced="0" hidden="1"/>
    <cacheHierarchy uniqueName="[Measures].[__XL_Count electric_vehicle_sales_by_state]" caption="__XL_Count electric_vehicle_sales_by_state" measure="1" displayFolder="" measureGroup="electric_vehicle_sales_by_state" count="0" hidden="1"/>
    <cacheHierarchy uniqueName="[Measures].[__XL_Count electric_vehicle_sales_by_makers]" caption="__XL_Count electric_vehicle_sales_by_makers" measure="1" displayFolder="" measureGroup="electric_vehicle_sales_by_maker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electric_vehicles_sold]" caption="Sum of electric_vehicles_sold" measure="1" displayFolder="" measureGroup="electric_vehicle_sales_by_mak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electric_vehicles_sold 2]" caption="Sum of electric_vehicles_sold 2" measure="1" displayFolder="" measureGroup="electric_vehicle_sales_by_stat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4">
    <dimension name="dim_date" uniqueName="[dim_date]" caption="dim_date"/>
    <dimension name="electric_vehicle_sales_by_makers" uniqueName="[electric_vehicle_sales_by_makers]" caption="electric_vehicle_sales_by_makers"/>
    <dimension name="electric_vehicle_sales_by_state" uniqueName="[electric_vehicle_sales_by_state]" caption="electric_vehicle_sales_by_state"/>
    <dimension measure="1" name="Measures" uniqueName="[Measures]" caption="Measures"/>
  </dimensions>
  <measureGroups count="3">
    <measureGroup name="dim_date" caption="dim_date"/>
    <measureGroup name="electric_vehicle_sales_by_makers" caption="electric_vehicle_sales_by_makers"/>
    <measureGroup name="electric_vehicle_sales_by_state" caption="electric_vehicle_sales_by_state"/>
  </measureGroups>
  <maps count="5">
    <map measureGroup="0" dimension="0"/>
    <map measureGroup="1" dimension="0"/>
    <map measureGroup="1" dimension="1"/>
    <map measureGroup="2" dimension="0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11" refreshedDate="46109.851022800925" backgroundQuery="1" createdVersion="8" refreshedVersion="8" minRefreshableVersion="3" recordCount="0" supportSubquery="1" supportAdvancedDrill="1" xr:uid="{69B411C9-05DB-484A-8AFA-8FB2ACC16329}">
  <cacheSource type="external" connectionId="5"/>
  <cacheFields count="3">
    <cacheField name="[dim_date].[date (Year)].[date (Year)]" caption="date (Year)" numFmtId="0" hierarchy="4" level="1">
      <sharedItems count="3">
        <s v="2022"/>
        <s v="2023"/>
        <s v="2024"/>
      </sharedItems>
    </cacheField>
    <cacheField name="[Measures].[Sum of electric_vehicles_sold]" caption="Sum of electric_vehicles_sold" numFmtId="0" hierarchy="21" level="32767"/>
    <cacheField name="[electric_vehicle_sales_by_makers].[vehicle_category].[vehicle_category]" caption="vehicle_category" numFmtId="0" hierarchy="8" level="1">
      <sharedItems containsSemiMixedTypes="0" containsNonDate="0" containsString="0"/>
    </cacheField>
  </cacheFields>
  <cacheHierarchies count="23"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fiscal_year]" caption="fiscal_year" attribute="1" defaultMemberUniqueName="[dim_date].[fiscal_year].[All]" allUniqueName="[dim_date].[fiscal_year].[All]" dimensionUniqueName="[dim_date]" displayFolder="" count="0" memberValueDatatype="2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13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date (Year)]" caption="date (Year)" attribute="1" defaultMemberUniqueName="[dim_date].[date (Year)].[All]" allUniqueName="[dim_date].[date (Year)].[All]" dimensionUniqueName="[dim_date]" displayFolder="" count="2" memberValueDatatype="130" unbalanced="0">
      <fieldsUsage count="2">
        <fieldUsage x="-1"/>
        <fieldUsage x="0"/>
      </fieldsUsage>
    </cacheHierarchy>
    <cacheHierarchy uniqueName="[dim_date].[date (Quarter)]" caption="date (Quarter)" attribute="1" defaultMemberUniqueName="[dim_date].[date (Quarter)].[All]" allUniqueName="[dim_date].[date (Quarter)].[All]" dimensionUniqueName="[dim_date]" displayFolder="" count="0" memberValueDatatype="130" unbalanced="0"/>
    <cacheHierarchy uniqueName="[dim_date].[date (Month)]" caption="date (Month)" attribute="1" defaultMemberUniqueName="[dim_date].[date (Month)].[All]" allUniqueName="[dim_date].[date (Month)].[All]" dimensionUniqueName="[dim_date]" displayFolder="" count="0" memberValueDatatype="130" unbalanced="0"/>
    <cacheHierarchy uniqueName="[electric_vehicle_sales_by_makers].[date]" caption="date" attribute="1" time="1" defaultMemberUniqueName="[electric_vehicle_sales_by_makers].[date].[All]" allUniqueName="[electric_vehicle_sales_by_makers].[date].[All]" dimensionUniqueName="[electric_vehicle_sales_by_makers]" displayFolder="" count="0" memberValueDatatype="7" unbalanced="0"/>
    <cacheHierarchy uniqueName="[electric_vehicle_sales_by_makers].[vehicle_category]" caption="vehicle_category" attribute="1" defaultMemberUniqueName="[electric_vehicle_sales_by_makers].[vehicle_category].[All]" allUniqueName="[electric_vehicle_sales_by_makers].[vehicle_category].[All]" dimensionUniqueName="[electric_vehicle_sales_by_makers]" displayFolder="" count="2" memberValueDatatype="130" unbalanced="0">
      <fieldsUsage count="2">
        <fieldUsage x="-1"/>
        <fieldUsage x="2"/>
      </fieldsUsage>
    </cacheHierarchy>
    <cacheHierarchy uniqueName="[electric_vehicle_sales_by_makers].[maker]" caption="maker" attribute="1" defaultMemberUniqueName="[electric_vehicle_sales_by_makers].[maker].[All]" allUniqueName="[electric_vehicle_sales_by_makers].[maker].[All]" dimensionUniqueName="[electric_vehicle_sales_by_makers]" displayFolder="" count="0" memberValueDatatype="130" unbalanced="0"/>
    <cacheHierarchy uniqueName="[electric_vehicle_sales_by_makers].[electric_vehicles_sold]" caption="electric_vehicles_sold" attribute="1" defaultMemberUniqueName="[electric_vehicle_sales_by_makers].[electric_vehicles_sold].[All]" allUniqueName="[electric_vehicle_sales_by_makers].[electric_vehicles_sold].[All]" dimensionUniqueName="[electric_vehicle_sales_by_makers]" displayFolder="" count="0" memberValueDatatype="20" unbalanced="0"/>
    <cacheHierarchy uniqueName="[electric_vehicle_sales_by_state].[date]" caption="date" attribute="1" time="1" defaultMemberUniqueName="[electric_vehicle_sales_by_state].[date].[All]" allUniqueName="[electric_vehicle_sales_by_state].[date].[All]" dimensionUniqueName="[electric_vehicle_sales_by_state]" displayFolder="" count="0" memberValueDatatype="7" unbalanced="0"/>
    <cacheHierarchy uniqueName="[electric_vehicle_sales_by_state].[state]" caption="state" attribute="1" defaultMemberUniqueName="[electric_vehicle_sales_by_state].[state].[All]" allUniqueName="[electric_vehicle_sales_by_state].[state].[All]" dimensionUniqueName="[electric_vehicle_sales_by_state]" displayFolder="" count="0" memberValueDatatype="130" unbalanced="0"/>
    <cacheHierarchy uniqueName="[electric_vehicle_sales_by_state].[vehicle_category]" caption="vehicle_category" attribute="1" defaultMemberUniqueName="[electric_vehicle_sales_by_state].[vehicle_category].[All]" allUniqueName="[electric_vehicle_sales_by_state].[vehicle_category].[All]" dimensionUniqueName="[electric_vehicle_sales_by_state]" displayFolder="" count="0" memberValueDatatype="130" unbalanced="0"/>
    <cacheHierarchy uniqueName="[electric_vehicle_sales_by_state].[electric_vehicles_sold]" caption="electric_vehicles_sold" attribute="1" defaultMemberUniqueName="[electric_vehicle_sales_by_state].[electric_vehicles_sold].[All]" allUniqueName="[electric_vehicle_sales_by_state].[electric_vehicles_sold].[All]" dimensionUniqueName="[electric_vehicle_sales_by_state]" displayFolder="" count="0" memberValueDatatype="20" unbalanced="0"/>
    <cacheHierarchy uniqueName="[electric_vehicle_sales_by_state].[total_vehicles_sold]" caption="total_vehicles_sold" attribute="1" defaultMemberUniqueName="[electric_vehicle_sales_by_state].[total_vehicles_sold].[All]" allUniqueName="[electric_vehicle_sales_by_state].[total_vehicles_sold].[All]" dimensionUniqueName="[electric_vehicle_sales_by_state]" displayFolder="" count="0" memberValueDatatype="20" unbalanced="0"/>
    <cacheHierarchy uniqueName="[dim_date].[date (Month Index)]" caption="date (Month Index)" attribute="1" defaultMemberUniqueName="[dim_date].[date (Month Index)].[All]" allUniqueName="[dim_date].[date (Month Index)].[All]" dimensionUniqueName="[dim_date]" displayFolder="" count="0" memberValueDatatype="20" unbalanced="0" hidden="1"/>
    <cacheHierarchy uniqueName="[Measures].[__XL_Count electric_vehicle_sales_by_state]" caption="__XL_Count electric_vehicle_sales_by_state" measure="1" displayFolder="" measureGroup="electric_vehicle_sales_by_state" count="0" hidden="1"/>
    <cacheHierarchy uniqueName="[Measures].[__XL_Count electric_vehicle_sales_by_makers]" caption="__XL_Count electric_vehicle_sales_by_makers" measure="1" displayFolder="" measureGroup="electric_vehicle_sales_by_maker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electric_vehicles_sold]" caption="Sum of electric_vehicles_sold" measure="1" displayFolder="" measureGroup="electric_vehicle_sales_by_mak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electric_vehicles_sold 2]" caption="Sum of electric_vehicles_sold 2" measure="1" displayFolder="" measureGroup="electric_vehicle_sales_by_stat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4">
    <dimension name="dim_date" uniqueName="[dim_date]" caption="dim_date"/>
    <dimension name="electric_vehicle_sales_by_makers" uniqueName="[electric_vehicle_sales_by_makers]" caption="electric_vehicle_sales_by_makers"/>
    <dimension name="electric_vehicle_sales_by_state" uniqueName="[electric_vehicle_sales_by_state]" caption="electric_vehicle_sales_by_state"/>
    <dimension measure="1" name="Measures" uniqueName="[Measures]" caption="Measures"/>
  </dimensions>
  <measureGroups count="3">
    <measureGroup name="dim_date" caption="dim_date"/>
    <measureGroup name="electric_vehicle_sales_by_makers" caption="electric_vehicle_sales_by_makers"/>
    <measureGroup name="electric_vehicle_sales_by_state" caption="electric_vehicle_sales_by_state"/>
  </measureGroups>
  <maps count="5">
    <map measureGroup="0" dimension="0"/>
    <map measureGroup="1" dimension="0"/>
    <map measureGroup="1" dimension="1"/>
    <map measureGroup="2" dimension="0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11" refreshedDate="46109.850872569441" backgroundQuery="1" createdVersion="8" refreshedVersion="8" minRefreshableVersion="3" recordCount="0" supportSubquery="1" supportAdvancedDrill="1" xr:uid="{D6CB6E61-A2B5-4603-9A59-78B419B6DF78}">
  <cacheSource type="external" connectionId="5"/>
  <cacheFields count="3">
    <cacheField name="[dim_date].[date (Year)].[date (Year)]" caption="date (Year)" numFmtId="0" hierarchy="4" level="1">
      <sharedItems count="3">
        <s v="2022"/>
        <s v="2023"/>
        <s v="2024"/>
      </sharedItems>
    </cacheField>
    <cacheField name="[Measures].[Sum of electric_vehicles_sold]" caption="Sum of electric_vehicles_sold" numFmtId="0" hierarchy="21" level="32767"/>
    <cacheField name="[electric_vehicle_sales_by_makers].[vehicle_category].[vehicle_category]" caption="vehicle_category" numFmtId="0" hierarchy="8" level="1">
      <sharedItems containsSemiMixedTypes="0" containsNonDate="0" containsString="0"/>
    </cacheField>
  </cacheFields>
  <cacheHierarchies count="23"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fiscal_year]" caption="fiscal_year" attribute="1" defaultMemberUniqueName="[dim_date].[fiscal_year].[All]" allUniqueName="[dim_date].[fiscal_year].[All]" dimensionUniqueName="[dim_date]" displayFolder="" count="0" memberValueDatatype="2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13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date (Year)]" caption="date (Year)" attribute="1" defaultMemberUniqueName="[dim_date].[date (Year)].[All]" allUniqueName="[dim_date].[date (Year)].[All]" dimensionUniqueName="[dim_date]" displayFolder="" count="2" memberValueDatatype="130" unbalanced="0">
      <fieldsUsage count="2">
        <fieldUsage x="-1"/>
        <fieldUsage x="0"/>
      </fieldsUsage>
    </cacheHierarchy>
    <cacheHierarchy uniqueName="[dim_date].[date (Quarter)]" caption="date (Quarter)" attribute="1" defaultMemberUniqueName="[dim_date].[date (Quarter)].[All]" allUniqueName="[dim_date].[date (Quarter)].[All]" dimensionUniqueName="[dim_date]" displayFolder="" count="0" memberValueDatatype="130" unbalanced="0"/>
    <cacheHierarchy uniqueName="[dim_date].[date (Month)]" caption="date (Month)" attribute="1" defaultMemberUniqueName="[dim_date].[date (Month)].[All]" allUniqueName="[dim_date].[date (Month)].[All]" dimensionUniqueName="[dim_date]" displayFolder="" count="0" memberValueDatatype="130" unbalanced="0"/>
    <cacheHierarchy uniqueName="[electric_vehicle_sales_by_makers].[date]" caption="date" attribute="1" time="1" defaultMemberUniqueName="[electric_vehicle_sales_by_makers].[date].[All]" allUniqueName="[electric_vehicle_sales_by_makers].[date].[All]" dimensionUniqueName="[electric_vehicle_sales_by_makers]" displayFolder="" count="0" memberValueDatatype="7" unbalanced="0"/>
    <cacheHierarchy uniqueName="[electric_vehicle_sales_by_makers].[vehicle_category]" caption="vehicle_category" attribute="1" defaultMemberUniqueName="[electric_vehicle_sales_by_makers].[vehicle_category].[All]" allUniqueName="[electric_vehicle_sales_by_makers].[vehicle_category].[All]" dimensionUniqueName="[electric_vehicle_sales_by_makers]" displayFolder="" count="2" memberValueDatatype="130" unbalanced="0">
      <fieldsUsage count="2">
        <fieldUsage x="-1"/>
        <fieldUsage x="2"/>
      </fieldsUsage>
    </cacheHierarchy>
    <cacheHierarchy uniqueName="[electric_vehicle_sales_by_makers].[maker]" caption="maker" attribute="1" defaultMemberUniqueName="[electric_vehicle_sales_by_makers].[maker].[All]" allUniqueName="[electric_vehicle_sales_by_makers].[maker].[All]" dimensionUniqueName="[electric_vehicle_sales_by_makers]" displayFolder="" count="0" memberValueDatatype="130" unbalanced="0"/>
    <cacheHierarchy uniqueName="[electric_vehicle_sales_by_makers].[electric_vehicles_sold]" caption="electric_vehicles_sold" attribute="1" defaultMemberUniqueName="[electric_vehicle_sales_by_makers].[electric_vehicles_sold].[All]" allUniqueName="[electric_vehicle_sales_by_makers].[electric_vehicles_sold].[All]" dimensionUniqueName="[electric_vehicle_sales_by_makers]" displayFolder="" count="0" memberValueDatatype="20" unbalanced="0"/>
    <cacheHierarchy uniqueName="[electric_vehicle_sales_by_state].[date]" caption="date" attribute="1" time="1" defaultMemberUniqueName="[electric_vehicle_sales_by_state].[date].[All]" allUniqueName="[electric_vehicle_sales_by_state].[date].[All]" dimensionUniqueName="[electric_vehicle_sales_by_state]" displayFolder="" count="0" memberValueDatatype="7" unbalanced="0"/>
    <cacheHierarchy uniqueName="[electric_vehicle_sales_by_state].[state]" caption="state" attribute="1" defaultMemberUniqueName="[electric_vehicle_sales_by_state].[state].[All]" allUniqueName="[electric_vehicle_sales_by_state].[state].[All]" dimensionUniqueName="[electric_vehicle_sales_by_state]" displayFolder="" count="0" memberValueDatatype="130" unbalanced="0"/>
    <cacheHierarchy uniqueName="[electric_vehicle_sales_by_state].[vehicle_category]" caption="vehicle_category" attribute="1" defaultMemberUniqueName="[electric_vehicle_sales_by_state].[vehicle_category].[All]" allUniqueName="[electric_vehicle_sales_by_state].[vehicle_category].[All]" dimensionUniqueName="[electric_vehicle_sales_by_state]" displayFolder="" count="0" memberValueDatatype="130" unbalanced="0"/>
    <cacheHierarchy uniqueName="[electric_vehicle_sales_by_state].[electric_vehicles_sold]" caption="electric_vehicles_sold" attribute="1" defaultMemberUniqueName="[electric_vehicle_sales_by_state].[electric_vehicles_sold].[All]" allUniqueName="[electric_vehicle_sales_by_state].[electric_vehicles_sold].[All]" dimensionUniqueName="[electric_vehicle_sales_by_state]" displayFolder="" count="0" memberValueDatatype="20" unbalanced="0"/>
    <cacheHierarchy uniqueName="[electric_vehicle_sales_by_state].[total_vehicles_sold]" caption="total_vehicles_sold" attribute="1" defaultMemberUniqueName="[electric_vehicle_sales_by_state].[total_vehicles_sold].[All]" allUniqueName="[electric_vehicle_sales_by_state].[total_vehicles_sold].[All]" dimensionUniqueName="[electric_vehicle_sales_by_state]" displayFolder="" count="0" memberValueDatatype="20" unbalanced="0"/>
    <cacheHierarchy uniqueName="[dim_date].[date (Month Index)]" caption="date (Month Index)" attribute="1" defaultMemberUniqueName="[dim_date].[date (Month Index)].[All]" allUniqueName="[dim_date].[date (Month Index)].[All]" dimensionUniqueName="[dim_date]" displayFolder="" count="0" memberValueDatatype="20" unbalanced="0" hidden="1"/>
    <cacheHierarchy uniqueName="[Measures].[__XL_Count electric_vehicle_sales_by_state]" caption="__XL_Count electric_vehicle_sales_by_state" measure="1" displayFolder="" measureGroup="electric_vehicle_sales_by_state" count="0" hidden="1"/>
    <cacheHierarchy uniqueName="[Measures].[__XL_Count electric_vehicle_sales_by_makers]" caption="__XL_Count electric_vehicle_sales_by_makers" measure="1" displayFolder="" measureGroup="electric_vehicle_sales_by_maker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  <cacheHierarchy uniqueName="[Measures].[Sum of electric_vehicles_sold]" caption="Sum of electric_vehicles_sold" measure="1" displayFolder="" measureGroup="electric_vehicle_sales_by_mak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electric_vehicles_sold 2]" caption="Sum of electric_vehicles_sold 2" measure="1" displayFolder="" measureGroup="electric_vehicle_sales_by_stat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4">
    <dimension name="dim_date" uniqueName="[dim_date]" caption="dim_date"/>
    <dimension name="electric_vehicle_sales_by_makers" uniqueName="[electric_vehicle_sales_by_makers]" caption="electric_vehicle_sales_by_makers"/>
    <dimension name="electric_vehicle_sales_by_state" uniqueName="[electric_vehicle_sales_by_state]" caption="electric_vehicle_sales_by_state"/>
    <dimension measure="1" name="Measures" uniqueName="[Measures]" caption="Measures"/>
  </dimensions>
  <measureGroups count="3">
    <measureGroup name="dim_date" caption="dim_date"/>
    <measureGroup name="electric_vehicle_sales_by_makers" caption="electric_vehicle_sales_by_makers"/>
    <measureGroup name="electric_vehicle_sales_by_state" caption="electric_vehicle_sales_by_state"/>
  </measureGroups>
  <maps count="5">
    <map measureGroup="0" dimension="0"/>
    <map measureGroup="1" dimension="0"/>
    <map measureGroup="1" dimension="1"/>
    <map measureGroup="2" dimension="0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6">
  <r>
    <x v="0"/>
    <x v="0"/>
    <x v="0"/>
    <n v="0"/>
  </r>
  <r>
    <x v="1"/>
    <x v="0"/>
    <x v="1"/>
    <n v="0"/>
  </r>
  <r>
    <x v="2"/>
    <x v="0"/>
    <x v="0"/>
    <n v="0"/>
  </r>
  <r>
    <x v="3"/>
    <x v="0"/>
    <x v="0"/>
    <n v="0"/>
  </r>
  <r>
    <x v="4"/>
    <x v="0"/>
    <x v="0"/>
    <n v="0"/>
  </r>
  <r>
    <x v="5"/>
    <x v="0"/>
    <x v="0"/>
    <n v="0"/>
  </r>
  <r>
    <x v="6"/>
    <x v="0"/>
    <x v="0"/>
    <n v="0"/>
  </r>
  <r>
    <x v="7"/>
    <x v="0"/>
    <x v="0"/>
    <n v="0"/>
  </r>
  <r>
    <x v="8"/>
    <x v="0"/>
    <x v="0"/>
    <n v="0"/>
  </r>
  <r>
    <x v="0"/>
    <x v="1"/>
    <x v="2"/>
    <n v="0"/>
  </r>
  <r>
    <x v="0"/>
    <x v="1"/>
    <x v="3"/>
    <n v="0"/>
  </r>
  <r>
    <x v="0"/>
    <x v="1"/>
    <x v="4"/>
    <n v="0"/>
  </r>
  <r>
    <x v="0"/>
    <x v="1"/>
    <x v="5"/>
    <n v="0"/>
  </r>
  <r>
    <x v="0"/>
    <x v="1"/>
    <x v="6"/>
    <n v="0"/>
  </r>
  <r>
    <x v="1"/>
    <x v="1"/>
    <x v="3"/>
    <n v="0"/>
  </r>
  <r>
    <x v="1"/>
    <x v="1"/>
    <x v="5"/>
    <n v="0"/>
  </r>
  <r>
    <x v="1"/>
    <x v="1"/>
    <x v="6"/>
    <n v="0"/>
  </r>
  <r>
    <x v="2"/>
    <x v="1"/>
    <x v="2"/>
    <n v="0"/>
  </r>
  <r>
    <x v="2"/>
    <x v="1"/>
    <x v="3"/>
    <n v="0"/>
  </r>
  <r>
    <x v="2"/>
    <x v="1"/>
    <x v="4"/>
    <n v="0"/>
  </r>
  <r>
    <x v="2"/>
    <x v="1"/>
    <x v="7"/>
    <n v="0"/>
  </r>
  <r>
    <x v="2"/>
    <x v="1"/>
    <x v="5"/>
    <n v="0"/>
  </r>
  <r>
    <x v="2"/>
    <x v="1"/>
    <x v="6"/>
    <n v="0"/>
  </r>
  <r>
    <x v="9"/>
    <x v="1"/>
    <x v="3"/>
    <n v="0"/>
  </r>
  <r>
    <x v="9"/>
    <x v="1"/>
    <x v="5"/>
    <n v="0"/>
  </r>
  <r>
    <x v="9"/>
    <x v="1"/>
    <x v="6"/>
    <n v="0"/>
  </r>
  <r>
    <x v="3"/>
    <x v="1"/>
    <x v="2"/>
    <n v="0"/>
  </r>
  <r>
    <x v="3"/>
    <x v="1"/>
    <x v="3"/>
    <n v="0"/>
  </r>
  <r>
    <x v="3"/>
    <x v="1"/>
    <x v="4"/>
    <n v="0"/>
  </r>
  <r>
    <x v="3"/>
    <x v="1"/>
    <x v="5"/>
    <n v="0"/>
  </r>
  <r>
    <x v="3"/>
    <x v="1"/>
    <x v="6"/>
    <n v="0"/>
  </r>
  <r>
    <x v="10"/>
    <x v="1"/>
    <x v="3"/>
    <n v="0"/>
  </r>
  <r>
    <x v="10"/>
    <x v="1"/>
    <x v="5"/>
    <n v="0"/>
  </r>
  <r>
    <x v="10"/>
    <x v="1"/>
    <x v="6"/>
    <n v="0"/>
  </r>
  <r>
    <x v="4"/>
    <x v="1"/>
    <x v="2"/>
    <n v="0"/>
  </r>
  <r>
    <x v="4"/>
    <x v="1"/>
    <x v="3"/>
    <n v="0"/>
  </r>
  <r>
    <x v="4"/>
    <x v="1"/>
    <x v="4"/>
    <n v="0"/>
  </r>
  <r>
    <x v="4"/>
    <x v="1"/>
    <x v="5"/>
    <n v="0"/>
  </r>
  <r>
    <x v="4"/>
    <x v="1"/>
    <x v="6"/>
    <n v="0"/>
  </r>
  <r>
    <x v="11"/>
    <x v="1"/>
    <x v="3"/>
    <n v="0"/>
  </r>
  <r>
    <x v="11"/>
    <x v="1"/>
    <x v="5"/>
    <n v="0"/>
  </r>
  <r>
    <x v="11"/>
    <x v="1"/>
    <x v="6"/>
    <n v="0"/>
  </r>
  <r>
    <x v="5"/>
    <x v="1"/>
    <x v="2"/>
    <n v="0"/>
  </r>
  <r>
    <x v="5"/>
    <x v="1"/>
    <x v="3"/>
    <n v="0"/>
  </r>
  <r>
    <x v="5"/>
    <x v="1"/>
    <x v="4"/>
    <n v="0"/>
  </r>
  <r>
    <x v="5"/>
    <x v="1"/>
    <x v="5"/>
    <n v="0"/>
  </r>
  <r>
    <x v="5"/>
    <x v="1"/>
    <x v="6"/>
    <n v="0"/>
  </r>
  <r>
    <x v="12"/>
    <x v="1"/>
    <x v="3"/>
    <n v="0"/>
  </r>
  <r>
    <x v="12"/>
    <x v="1"/>
    <x v="5"/>
    <n v="0"/>
  </r>
  <r>
    <x v="12"/>
    <x v="1"/>
    <x v="6"/>
    <n v="0"/>
  </r>
  <r>
    <x v="6"/>
    <x v="1"/>
    <x v="2"/>
    <n v="0"/>
  </r>
  <r>
    <x v="6"/>
    <x v="1"/>
    <x v="3"/>
    <n v="0"/>
  </r>
  <r>
    <x v="6"/>
    <x v="1"/>
    <x v="4"/>
    <n v="0"/>
  </r>
  <r>
    <x v="6"/>
    <x v="1"/>
    <x v="5"/>
    <n v="0"/>
  </r>
  <r>
    <x v="6"/>
    <x v="1"/>
    <x v="6"/>
    <n v="0"/>
  </r>
  <r>
    <x v="13"/>
    <x v="1"/>
    <x v="3"/>
    <n v="0"/>
  </r>
  <r>
    <x v="13"/>
    <x v="1"/>
    <x v="5"/>
    <n v="0"/>
  </r>
  <r>
    <x v="13"/>
    <x v="1"/>
    <x v="6"/>
    <n v="0"/>
  </r>
  <r>
    <x v="7"/>
    <x v="1"/>
    <x v="2"/>
    <n v="0"/>
  </r>
  <r>
    <x v="7"/>
    <x v="1"/>
    <x v="3"/>
    <n v="0"/>
  </r>
  <r>
    <x v="7"/>
    <x v="1"/>
    <x v="4"/>
    <n v="0"/>
  </r>
  <r>
    <x v="7"/>
    <x v="1"/>
    <x v="5"/>
    <n v="0"/>
  </r>
  <r>
    <x v="7"/>
    <x v="1"/>
    <x v="6"/>
    <n v="0"/>
  </r>
  <r>
    <x v="14"/>
    <x v="1"/>
    <x v="3"/>
    <n v="0"/>
  </r>
  <r>
    <x v="14"/>
    <x v="1"/>
    <x v="5"/>
    <n v="0"/>
  </r>
  <r>
    <x v="8"/>
    <x v="1"/>
    <x v="2"/>
    <n v="0"/>
  </r>
  <r>
    <x v="8"/>
    <x v="1"/>
    <x v="3"/>
    <n v="0"/>
  </r>
  <r>
    <x v="8"/>
    <x v="1"/>
    <x v="4"/>
    <n v="0"/>
  </r>
  <r>
    <x v="8"/>
    <x v="1"/>
    <x v="5"/>
    <n v="0"/>
  </r>
  <r>
    <x v="8"/>
    <x v="1"/>
    <x v="6"/>
    <n v="0"/>
  </r>
  <r>
    <x v="15"/>
    <x v="1"/>
    <x v="3"/>
    <n v="0"/>
  </r>
  <r>
    <x v="16"/>
    <x v="1"/>
    <x v="3"/>
    <n v="0"/>
  </r>
  <r>
    <x v="16"/>
    <x v="1"/>
    <x v="4"/>
    <n v="0"/>
  </r>
  <r>
    <x v="16"/>
    <x v="1"/>
    <x v="5"/>
    <n v="0"/>
  </r>
  <r>
    <x v="16"/>
    <x v="1"/>
    <x v="6"/>
    <n v="0"/>
  </r>
  <r>
    <x v="17"/>
    <x v="1"/>
    <x v="3"/>
    <n v="0"/>
  </r>
  <r>
    <x v="18"/>
    <x v="1"/>
    <x v="3"/>
    <n v="0"/>
  </r>
  <r>
    <x v="18"/>
    <x v="1"/>
    <x v="4"/>
    <n v="0"/>
  </r>
  <r>
    <x v="18"/>
    <x v="1"/>
    <x v="5"/>
    <n v="0"/>
  </r>
  <r>
    <x v="18"/>
    <x v="1"/>
    <x v="6"/>
    <n v="0"/>
  </r>
  <r>
    <x v="19"/>
    <x v="1"/>
    <x v="3"/>
    <n v="0"/>
  </r>
  <r>
    <x v="20"/>
    <x v="1"/>
    <x v="3"/>
    <n v="0"/>
  </r>
  <r>
    <x v="20"/>
    <x v="1"/>
    <x v="4"/>
    <n v="0"/>
  </r>
  <r>
    <x v="20"/>
    <x v="1"/>
    <x v="5"/>
    <n v="0"/>
  </r>
  <r>
    <x v="20"/>
    <x v="1"/>
    <x v="6"/>
    <n v="0"/>
  </r>
  <r>
    <x v="21"/>
    <x v="1"/>
    <x v="3"/>
    <n v="0"/>
  </r>
  <r>
    <x v="22"/>
    <x v="1"/>
    <x v="3"/>
    <n v="0"/>
  </r>
  <r>
    <x v="22"/>
    <x v="1"/>
    <x v="6"/>
    <n v="0"/>
  </r>
  <r>
    <x v="0"/>
    <x v="1"/>
    <x v="8"/>
    <n v="322"/>
  </r>
  <r>
    <x v="0"/>
    <x v="1"/>
    <x v="9"/>
    <n v="118"/>
  </r>
  <r>
    <x v="0"/>
    <x v="1"/>
    <x v="10"/>
    <n v="171"/>
  </r>
  <r>
    <x v="0"/>
    <x v="1"/>
    <x v="11"/>
    <n v="12"/>
  </r>
  <r>
    <x v="0"/>
    <x v="1"/>
    <x v="7"/>
    <n v="3"/>
  </r>
  <r>
    <x v="1"/>
    <x v="1"/>
    <x v="8"/>
    <n v="1409"/>
  </r>
  <r>
    <x v="1"/>
    <x v="1"/>
    <x v="9"/>
    <n v="177"/>
  </r>
  <r>
    <x v="1"/>
    <x v="1"/>
    <x v="10"/>
    <n v="611"/>
  </r>
  <r>
    <x v="1"/>
    <x v="1"/>
    <x v="2"/>
    <n v="15"/>
  </r>
  <r>
    <x v="1"/>
    <x v="1"/>
    <x v="11"/>
    <n v="17"/>
  </r>
  <r>
    <x v="1"/>
    <x v="1"/>
    <x v="4"/>
    <n v="12"/>
  </r>
  <r>
    <x v="1"/>
    <x v="1"/>
    <x v="7"/>
    <n v="8"/>
  </r>
  <r>
    <x v="23"/>
    <x v="1"/>
    <x v="8"/>
    <n v="364"/>
  </r>
  <r>
    <x v="23"/>
    <x v="1"/>
    <x v="9"/>
    <n v="265"/>
  </r>
  <r>
    <x v="23"/>
    <x v="1"/>
    <x v="10"/>
    <n v="4880"/>
  </r>
  <r>
    <x v="23"/>
    <x v="1"/>
    <x v="2"/>
    <n v="156"/>
  </r>
  <r>
    <x v="23"/>
    <x v="1"/>
    <x v="11"/>
    <n v="42"/>
  </r>
  <r>
    <x v="23"/>
    <x v="1"/>
    <x v="3"/>
    <n v="181"/>
  </r>
  <r>
    <x v="23"/>
    <x v="1"/>
    <x v="4"/>
    <n v="51"/>
  </r>
  <r>
    <x v="23"/>
    <x v="1"/>
    <x v="7"/>
    <n v="8"/>
  </r>
  <r>
    <x v="23"/>
    <x v="1"/>
    <x v="5"/>
    <n v="27"/>
  </r>
  <r>
    <x v="23"/>
    <x v="1"/>
    <x v="6"/>
    <n v="30"/>
  </r>
  <r>
    <x v="2"/>
    <x v="1"/>
    <x v="8"/>
    <n v="137"/>
  </r>
  <r>
    <x v="2"/>
    <x v="1"/>
    <x v="9"/>
    <n v="39"/>
  </r>
  <r>
    <x v="2"/>
    <x v="1"/>
    <x v="10"/>
    <n v="78"/>
  </r>
  <r>
    <x v="2"/>
    <x v="1"/>
    <x v="11"/>
    <n v="3"/>
  </r>
  <r>
    <x v="9"/>
    <x v="1"/>
    <x v="8"/>
    <n v="2097"/>
  </r>
  <r>
    <x v="9"/>
    <x v="1"/>
    <x v="9"/>
    <n v="181"/>
  </r>
  <r>
    <x v="9"/>
    <x v="1"/>
    <x v="10"/>
    <n v="622"/>
  </r>
  <r>
    <x v="9"/>
    <x v="1"/>
    <x v="2"/>
    <n v="30"/>
  </r>
  <r>
    <x v="9"/>
    <x v="1"/>
    <x v="11"/>
    <n v="19"/>
  </r>
  <r>
    <x v="9"/>
    <x v="1"/>
    <x v="4"/>
    <n v="6"/>
  </r>
  <r>
    <x v="9"/>
    <x v="1"/>
    <x v="7"/>
    <n v="4"/>
  </r>
  <r>
    <x v="24"/>
    <x v="1"/>
    <x v="8"/>
    <n v="3212"/>
  </r>
  <r>
    <x v="24"/>
    <x v="1"/>
    <x v="9"/>
    <n v="351"/>
  </r>
  <r>
    <x v="24"/>
    <x v="1"/>
    <x v="10"/>
    <n v="3457"/>
  </r>
  <r>
    <x v="24"/>
    <x v="1"/>
    <x v="2"/>
    <n v="110"/>
  </r>
  <r>
    <x v="24"/>
    <x v="1"/>
    <x v="11"/>
    <n v="129"/>
  </r>
  <r>
    <x v="24"/>
    <x v="1"/>
    <x v="3"/>
    <n v="245"/>
  </r>
  <r>
    <x v="24"/>
    <x v="1"/>
    <x v="4"/>
    <n v="57"/>
  </r>
  <r>
    <x v="24"/>
    <x v="1"/>
    <x v="7"/>
    <n v="9"/>
  </r>
  <r>
    <x v="24"/>
    <x v="1"/>
    <x v="5"/>
    <n v="34"/>
  </r>
  <r>
    <x v="24"/>
    <x v="1"/>
    <x v="6"/>
    <n v="36"/>
  </r>
  <r>
    <x v="3"/>
    <x v="1"/>
    <x v="8"/>
    <n v="572"/>
  </r>
  <r>
    <x v="3"/>
    <x v="1"/>
    <x v="9"/>
    <n v="128"/>
  </r>
  <r>
    <x v="3"/>
    <x v="1"/>
    <x v="10"/>
    <n v="106"/>
  </r>
  <r>
    <x v="3"/>
    <x v="1"/>
    <x v="11"/>
    <n v="10"/>
  </r>
  <r>
    <x v="3"/>
    <x v="1"/>
    <x v="7"/>
    <n v="2"/>
  </r>
  <r>
    <x v="10"/>
    <x v="1"/>
    <x v="8"/>
    <n v="2169"/>
  </r>
  <r>
    <x v="10"/>
    <x v="1"/>
    <x v="9"/>
    <n v="173"/>
  </r>
  <r>
    <x v="10"/>
    <x v="1"/>
    <x v="10"/>
    <n v="787"/>
  </r>
  <r>
    <x v="10"/>
    <x v="1"/>
    <x v="2"/>
    <n v="36"/>
  </r>
  <r>
    <x v="10"/>
    <x v="1"/>
    <x v="11"/>
    <n v="39"/>
  </r>
  <r>
    <x v="10"/>
    <x v="1"/>
    <x v="4"/>
    <n v="4"/>
  </r>
  <r>
    <x v="10"/>
    <x v="1"/>
    <x v="7"/>
    <n v="2"/>
  </r>
  <r>
    <x v="25"/>
    <x v="1"/>
    <x v="8"/>
    <n v="3671"/>
  </r>
  <r>
    <x v="25"/>
    <x v="1"/>
    <x v="9"/>
    <n v="877"/>
  </r>
  <r>
    <x v="25"/>
    <x v="1"/>
    <x v="10"/>
    <n v="2574"/>
  </r>
  <r>
    <x v="25"/>
    <x v="1"/>
    <x v="2"/>
    <n v="140"/>
  </r>
  <r>
    <x v="25"/>
    <x v="1"/>
    <x v="11"/>
    <n v="121"/>
  </r>
  <r>
    <x v="25"/>
    <x v="1"/>
    <x v="3"/>
    <n v="254"/>
  </r>
  <r>
    <x v="25"/>
    <x v="1"/>
    <x v="4"/>
    <n v="76"/>
  </r>
  <r>
    <x v="25"/>
    <x v="1"/>
    <x v="7"/>
    <n v="14"/>
  </r>
  <r>
    <x v="25"/>
    <x v="1"/>
    <x v="5"/>
    <n v="33"/>
  </r>
  <r>
    <x v="25"/>
    <x v="1"/>
    <x v="6"/>
    <n v="30"/>
  </r>
  <r>
    <x v="4"/>
    <x v="1"/>
    <x v="8"/>
    <n v="696"/>
  </r>
  <r>
    <x v="4"/>
    <x v="1"/>
    <x v="9"/>
    <n v="232"/>
  </r>
  <r>
    <x v="4"/>
    <x v="1"/>
    <x v="10"/>
    <n v="171"/>
  </r>
  <r>
    <x v="4"/>
    <x v="1"/>
    <x v="11"/>
    <n v="18"/>
  </r>
  <r>
    <x v="4"/>
    <x v="1"/>
    <x v="7"/>
    <n v="1"/>
  </r>
  <r>
    <x v="11"/>
    <x v="1"/>
    <x v="8"/>
    <n v="2264"/>
  </r>
  <r>
    <x v="11"/>
    <x v="1"/>
    <x v="9"/>
    <n v="194"/>
  </r>
  <r>
    <x v="11"/>
    <x v="1"/>
    <x v="10"/>
    <n v="866"/>
  </r>
  <r>
    <x v="11"/>
    <x v="1"/>
    <x v="2"/>
    <n v="32"/>
  </r>
  <r>
    <x v="11"/>
    <x v="1"/>
    <x v="11"/>
    <n v="45"/>
  </r>
  <r>
    <x v="11"/>
    <x v="1"/>
    <x v="4"/>
    <n v="4"/>
  </r>
  <r>
    <x v="11"/>
    <x v="1"/>
    <x v="7"/>
    <n v="1"/>
  </r>
  <r>
    <x v="26"/>
    <x v="1"/>
    <x v="8"/>
    <n v="3823"/>
  </r>
  <r>
    <x v="26"/>
    <x v="1"/>
    <x v="9"/>
    <n v="935"/>
  </r>
  <r>
    <x v="26"/>
    <x v="1"/>
    <x v="10"/>
    <n v="2174"/>
  </r>
  <r>
    <x v="26"/>
    <x v="1"/>
    <x v="2"/>
    <n v="89"/>
  </r>
  <r>
    <x v="26"/>
    <x v="1"/>
    <x v="11"/>
    <n v="88"/>
  </r>
  <r>
    <x v="26"/>
    <x v="1"/>
    <x v="3"/>
    <n v="169"/>
  </r>
  <r>
    <x v="26"/>
    <x v="1"/>
    <x v="4"/>
    <n v="81"/>
  </r>
  <r>
    <x v="26"/>
    <x v="1"/>
    <x v="7"/>
    <n v="23"/>
  </r>
  <r>
    <x v="26"/>
    <x v="1"/>
    <x v="5"/>
    <n v="26"/>
  </r>
  <r>
    <x v="26"/>
    <x v="1"/>
    <x v="6"/>
    <n v="22"/>
  </r>
  <r>
    <x v="5"/>
    <x v="1"/>
    <x v="8"/>
    <n v="584"/>
  </r>
  <r>
    <x v="5"/>
    <x v="1"/>
    <x v="9"/>
    <n v="303"/>
  </r>
  <r>
    <x v="5"/>
    <x v="1"/>
    <x v="10"/>
    <n v="204"/>
  </r>
  <r>
    <x v="5"/>
    <x v="1"/>
    <x v="11"/>
    <n v="10"/>
  </r>
  <r>
    <x v="5"/>
    <x v="1"/>
    <x v="7"/>
    <n v="2"/>
  </r>
  <r>
    <x v="12"/>
    <x v="1"/>
    <x v="8"/>
    <n v="1931"/>
  </r>
  <r>
    <x v="12"/>
    <x v="1"/>
    <x v="9"/>
    <n v="234"/>
  </r>
  <r>
    <x v="12"/>
    <x v="1"/>
    <x v="10"/>
    <n v="1085"/>
  </r>
  <r>
    <x v="12"/>
    <x v="1"/>
    <x v="2"/>
    <n v="33"/>
  </r>
  <r>
    <x v="12"/>
    <x v="1"/>
    <x v="11"/>
    <n v="53"/>
  </r>
  <r>
    <x v="12"/>
    <x v="1"/>
    <x v="4"/>
    <n v="19"/>
  </r>
  <r>
    <x v="12"/>
    <x v="1"/>
    <x v="7"/>
    <n v="3"/>
  </r>
  <r>
    <x v="27"/>
    <x v="1"/>
    <x v="8"/>
    <n v="3388"/>
  </r>
  <r>
    <x v="27"/>
    <x v="1"/>
    <x v="9"/>
    <n v="913"/>
  </r>
  <r>
    <x v="27"/>
    <x v="1"/>
    <x v="10"/>
    <n v="2013"/>
  </r>
  <r>
    <x v="27"/>
    <x v="1"/>
    <x v="2"/>
    <n v="80"/>
  </r>
  <r>
    <x v="27"/>
    <x v="1"/>
    <x v="11"/>
    <n v="141"/>
  </r>
  <r>
    <x v="27"/>
    <x v="1"/>
    <x v="3"/>
    <n v="89"/>
  </r>
  <r>
    <x v="27"/>
    <x v="1"/>
    <x v="4"/>
    <n v="64"/>
  </r>
  <r>
    <x v="27"/>
    <x v="1"/>
    <x v="7"/>
    <n v="8"/>
  </r>
  <r>
    <x v="27"/>
    <x v="1"/>
    <x v="5"/>
    <n v="36"/>
  </r>
  <r>
    <x v="27"/>
    <x v="1"/>
    <x v="6"/>
    <n v="21"/>
  </r>
  <r>
    <x v="6"/>
    <x v="1"/>
    <x v="8"/>
    <n v="772"/>
  </r>
  <r>
    <x v="6"/>
    <x v="1"/>
    <x v="9"/>
    <n v="263"/>
  </r>
  <r>
    <x v="6"/>
    <x v="1"/>
    <x v="10"/>
    <n v="276"/>
  </r>
  <r>
    <x v="6"/>
    <x v="1"/>
    <x v="11"/>
    <n v="6"/>
  </r>
  <r>
    <x v="6"/>
    <x v="1"/>
    <x v="7"/>
    <n v="2"/>
  </r>
  <r>
    <x v="13"/>
    <x v="1"/>
    <x v="8"/>
    <n v="1997"/>
  </r>
  <r>
    <x v="13"/>
    <x v="1"/>
    <x v="9"/>
    <n v="207"/>
  </r>
  <r>
    <x v="13"/>
    <x v="1"/>
    <x v="10"/>
    <n v="1213"/>
  </r>
  <r>
    <x v="13"/>
    <x v="1"/>
    <x v="2"/>
    <n v="48"/>
  </r>
  <r>
    <x v="13"/>
    <x v="1"/>
    <x v="11"/>
    <n v="57"/>
  </r>
  <r>
    <x v="13"/>
    <x v="1"/>
    <x v="4"/>
    <n v="21"/>
  </r>
  <r>
    <x v="13"/>
    <x v="1"/>
    <x v="7"/>
    <n v="3"/>
  </r>
  <r>
    <x v="28"/>
    <x v="1"/>
    <x v="8"/>
    <n v="3126"/>
  </r>
  <r>
    <x v="28"/>
    <x v="1"/>
    <x v="9"/>
    <n v="676"/>
  </r>
  <r>
    <x v="28"/>
    <x v="1"/>
    <x v="10"/>
    <n v="1668"/>
  </r>
  <r>
    <x v="28"/>
    <x v="1"/>
    <x v="2"/>
    <n v="141"/>
  </r>
  <r>
    <x v="28"/>
    <x v="1"/>
    <x v="11"/>
    <n v="161"/>
  </r>
  <r>
    <x v="28"/>
    <x v="1"/>
    <x v="3"/>
    <n v="108"/>
  </r>
  <r>
    <x v="28"/>
    <x v="1"/>
    <x v="4"/>
    <n v="58"/>
  </r>
  <r>
    <x v="28"/>
    <x v="1"/>
    <x v="7"/>
    <n v="41"/>
  </r>
  <r>
    <x v="28"/>
    <x v="1"/>
    <x v="5"/>
    <n v="42"/>
  </r>
  <r>
    <x v="28"/>
    <x v="1"/>
    <x v="6"/>
    <n v="26"/>
  </r>
  <r>
    <x v="7"/>
    <x v="1"/>
    <x v="8"/>
    <n v="803"/>
  </r>
  <r>
    <x v="7"/>
    <x v="1"/>
    <x v="9"/>
    <n v="194"/>
  </r>
  <r>
    <x v="7"/>
    <x v="1"/>
    <x v="10"/>
    <n v="369"/>
  </r>
  <r>
    <x v="7"/>
    <x v="1"/>
    <x v="11"/>
    <n v="8"/>
  </r>
  <r>
    <x v="7"/>
    <x v="1"/>
    <x v="7"/>
    <n v="3"/>
  </r>
  <r>
    <x v="14"/>
    <x v="1"/>
    <x v="8"/>
    <n v="2395"/>
  </r>
  <r>
    <x v="14"/>
    <x v="1"/>
    <x v="9"/>
    <n v="338"/>
  </r>
  <r>
    <x v="14"/>
    <x v="1"/>
    <x v="10"/>
    <n v="1051"/>
  </r>
  <r>
    <x v="14"/>
    <x v="1"/>
    <x v="2"/>
    <n v="27"/>
  </r>
  <r>
    <x v="14"/>
    <x v="1"/>
    <x v="11"/>
    <n v="64"/>
  </r>
  <r>
    <x v="14"/>
    <x v="1"/>
    <x v="4"/>
    <n v="4"/>
  </r>
  <r>
    <x v="14"/>
    <x v="1"/>
    <x v="7"/>
    <n v="4"/>
  </r>
  <r>
    <x v="14"/>
    <x v="1"/>
    <x v="6"/>
    <n v="29"/>
  </r>
  <r>
    <x v="29"/>
    <x v="1"/>
    <x v="8"/>
    <n v="3911"/>
  </r>
  <r>
    <x v="29"/>
    <x v="1"/>
    <x v="9"/>
    <n v="714"/>
  </r>
  <r>
    <x v="29"/>
    <x v="1"/>
    <x v="10"/>
    <n v="2027"/>
  </r>
  <r>
    <x v="29"/>
    <x v="1"/>
    <x v="2"/>
    <n v="109"/>
  </r>
  <r>
    <x v="29"/>
    <x v="1"/>
    <x v="11"/>
    <n v="148"/>
  </r>
  <r>
    <x v="29"/>
    <x v="1"/>
    <x v="3"/>
    <n v="132"/>
  </r>
  <r>
    <x v="29"/>
    <x v="1"/>
    <x v="4"/>
    <n v="71"/>
  </r>
  <r>
    <x v="29"/>
    <x v="1"/>
    <x v="7"/>
    <n v="18"/>
  </r>
  <r>
    <x v="29"/>
    <x v="1"/>
    <x v="5"/>
    <n v="41"/>
  </r>
  <r>
    <x v="29"/>
    <x v="1"/>
    <x v="6"/>
    <n v="39"/>
  </r>
  <r>
    <x v="8"/>
    <x v="1"/>
    <x v="8"/>
    <n v="1036"/>
  </r>
  <r>
    <x v="8"/>
    <x v="1"/>
    <x v="9"/>
    <n v="118"/>
  </r>
  <r>
    <x v="8"/>
    <x v="1"/>
    <x v="10"/>
    <n v="462"/>
  </r>
  <r>
    <x v="8"/>
    <x v="1"/>
    <x v="11"/>
    <n v="7"/>
  </r>
  <r>
    <x v="8"/>
    <x v="1"/>
    <x v="7"/>
    <n v="2"/>
  </r>
  <r>
    <x v="15"/>
    <x v="1"/>
    <x v="8"/>
    <n v="2264"/>
  </r>
  <r>
    <x v="15"/>
    <x v="1"/>
    <x v="9"/>
    <n v="464"/>
  </r>
  <r>
    <x v="15"/>
    <x v="1"/>
    <x v="10"/>
    <n v="1067"/>
  </r>
  <r>
    <x v="15"/>
    <x v="1"/>
    <x v="2"/>
    <n v="39"/>
  </r>
  <r>
    <x v="15"/>
    <x v="1"/>
    <x v="11"/>
    <n v="59"/>
  </r>
  <r>
    <x v="15"/>
    <x v="1"/>
    <x v="4"/>
    <n v="14"/>
  </r>
  <r>
    <x v="15"/>
    <x v="1"/>
    <x v="7"/>
    <n v="4"/>
  </r>
  <r>
    <x v="15"/>
    <x v="1"/>
    <x v="5"/>
    <n v="5"/>
  </r>
  <r>
    <x v="15"/>
    <x v="1"/>
    <x v="6"/>
    <n v="61"/>
  </r>
  <r>
    <x v="30"/>
    <x v="1"/>
    <x v="8"/>
    <n v="4432"/>
  </r>
  <r>
    <x v="30"/>
    <x v="1"/>
    <x v="9"/>
    <n v="723"/>
  </r>
  <r>
    <x v="30"/>
    <x v="1"/>
    <x v="10"/>
    <n v="1222"/>
  </r>
  <r>
    <x v="30"/>
    <x v="1"/>
    <x v="2"/>
    <n v="106"/>
  </r>
  <r>
    <x v="30"/>
    <x v="1"/>
    <x v="11"/>
    <n v="125"/>
  </r>
  <r>
    <x v="30"/>
    <x v="1"/>
    <x v="3"/>
    <n v="98"/>
  </r>
  <r>
    <x v="30"/>
    <x v="1"/>
    <x v="4"/>
    <n v="215"/>
  </r>
  <r>
    <x v="30"/>
    <x v="1"/>
    <x v="7"/>
    <n v="35"/>
  </r>
  <r>
    <x v="30"/>
    <x v="1"/>
    <x v="5"/>
    <n v="57"/>
  </r>
  <r>
    <x v="30"/>
    <x v="1"/>
    <x v="6"/>
    <n v="29"/>
  </r>
  <r>
    <x v="16"/>
    <x v="1"/>
    <x v="8"/>
    <n v="1952"/>
  </r>
  <r>
    <x v="16"/>
    <x v="1"/>
    <x v="9"/>
    <n v="99"/>
  </r>
  <r>
    <x v="16"/>
    <x v="1"/>
    <x v="10"/>
    <n v="552"/>
  </r>
  <r>
    <x v="16"/>
    <x v="1"/>
    <x v="2"/>
    <n v="1"/>
  </r>
  <r>
    <x v="16"/>
    <x v="1"/>
    <x v="11"/>
    <n v="10"/>
  </r>
  <r>
    <x v="16"/>
    <x v="1"/>
    <x v="7"/>
    <n v="1"/>
  </r>
  <r>
    <x v="17"/>
    <x v="1"/>
    <x v="8"/>
    <n v="1992"/>
  </r>
  <r>
    <x v="17"/>
    <x v="1"/>
    <x v="9"/>
    <n v="363"/>
  </r>
  <r>
    <x v="17"/>
    <x v="1"/>
    <x v="10"/>
    <n v="1260"/>
  </r>
  <r>
    <x v="17"/>
    <x v="1"/>
    <x v="2"/>
    <n v="37"/>
  </r>
  <r>
    <x v="17"/>
    <x v="1"/>
    <x v="11"/>
    <n v="68"/>
  </r>
  <r>
    <x v="17"/>
    <x v="1"/>
    <x v="4"/>
    <n v="27"/>
  </r>
  <r>
    <x v="17"/>
    <x v="1"/>
    <x v="7"/>
    <n v="6"/>
  </r>
  <r>
    <x v="17"/>
    <x v="1"/>
    <x v="5"/>
    <n v="16"/>
  </r>
  <r>
    <x v="17"/>
    <x v="1"/>
    <x v="6"/>
    <n v="65"/>
  </r>
  <r>
    <x v="31"/>
    <x v="1"/>
    <x v="8"/>
    <n v="4893"/>
  </r>
  <r>
    <x v="31"/>
    <x v="1"/>
    <x v="9"/>
    <n v="753"/>
  </r>
  <r>
    <x v="31"/>
    <x v="1"/>
    <x v="10"/>
    <n v="1015"/>
  </r>
  <r>
    <x v="31"/>
    <x v="1"/>
    <x v="2"/>
    <n v="135"/>
  </r>
  <r>
    <x v="31"/>
    <x v="1"/>
    <x v="11"/>
    <n v="97"/>
  </r>
  <r>
    <x v="31"/>
    <x v="1"/>
    <x v="3"/>
    <n v="40"/>
  </r>
  <r>
    <x v="31"/>
    <x v="1"/>
    <x v="4"/>
    <n v="137"/>
  </r>
  <r>
    <x v="31"/>
    <x v="1"/>
    <x v="7"/>
    <n v="51"/>
  </r>
  <r>
    <x v="31"/>
    <x v="1"/>
    <x v="5"/>
    <n v="47"/>
  </r>
  <r>
    <x v="31"/>
    <x v="1"/>
    <x v="6"/>
    <n v="23"/>
  </r>
  <r>
    <x v="18"/>
    <x v="1"/>
    <x v="8"/>
    <n v="1012"/>
  </r>
  <r>
    <x v="18"/>
    <x v="1"/>
    <x v="9"/>
    <n v="48"/>
  </r>
  <r>
    <x v="18"/>
    <x v="1"/>
    <x v="10"/>
    <n v="474"/>
  </r>
  <r>
    <x v="18"/>
    <x v="1"/>
    <x v="2"/>
    <n v="8"/>
  </r>
  <r>
    <x v="18"/>
    <x v="1"/>
    <x v="11"/>
    <n v="6"/>
  </r>
  <r>
    <x v="18"/>
    <x v="1"/>
    <x v="7"/>
    <n v="2"/>
  </r>
  <r>
    <x v="19"/>
    <x v="1"/>
    <x v="8"/>
    <n v="1812"/>
  </r>
  <r>
    <x v="19"/>
    <x v="1"/>
    <x v="9"/>
    <n v="313"/>
  </r>
  <r>
    <x v="19"/>
    <x v="1"/>
    <x v="10"/>
    <n v="967"/>
  </r>
  <r>
    <x v="19"/>
    <x v="1"/>
    <x v="2"/>
    <n v="101"/>
  </r>
  <r>
    <x v="19"/>
    <x v="1"/>
    <x v="11"/>
    <n v="84"/>
  </r>
  <r>
    <x v="19"/>
    <x v="1"/>
    <x v="4"/>
    <n v="91"/>
  </r>
  <r>
    <x v="19"/>
    <x v="1"/>
    <x v="7"/>
    <n v="14"/>
  </r>
  <r>
    <x v="19"/>
    <x v="1"/>
    <x v="5"/>
    <n v="21"/>
  </r>
  <r>
    <x v="19"/>
    <x v="1"/>
    <x v="6"/>
    <n v="35"/>
  </r>
  <r>
    <x v="32"/>
    <x v="1"/>
    <x v="8"/>
    <n v="5674"/>
  </r>
  <r>
    <x v="32"/>
    <x v="1"/>
    <x v="9"/>
    <n v="908"/>
  </r>
  <r>
    <x v="32"/>
    <x v="1"/>
    <x v="10"/>
    <n v="896"/>
  </r>
  <r>
    <x v="32"/>
    <x v="1"/>
    <x v="2"/>
    <n v="123"/>
  </r>
  <r>
    <x v="32"/>
    <x v="1"/>
    <x v="11"/>
    <n v="128"/>
  </r>
  <r>
    <x v="32"/>
    <x v="1"/>
    <x v="3"/>
    <n v="23"/>
  </r>
  <r>
    <x v="32"/>
    <x v="1"/>
    <x v="4"/>
    <n v="116"/>
  </r>
  <r>
    <x v="32"/>
    <x v="1"/>
    <x v="7"/>
    <n v="29"/>
  </r>
  <r>
    <x v="32"/>
    <x v="1"/>
    <x v="5"/>
    <n v="42"/>
  </r>
  <r>
    <x v="32"/>
    <x v="1"/>
    <x v="6"/>
    <n v="29"/>
  </r>
  <r>
    <x v="20"/>
    <x v="1"/>
    <x v="8"/>
    <n v="1922"/>
  </r>
  <r>
    <x v="20"/>
    <x v="1"/>
    <x v="9"/>
    <n v="30"/>
  </r>
  <r>
    <x v="20"/>
    <x v="1"/>
    <x v="10"/>
    <n v="478"/>
  </r>
  <r>
    <x v="20"/>
    <x v="1"/>
    <x v="2"/>
    <n v="10"/>
  </r>
  <r>
    <x v="20"/>
    <x v="1"/>
    <x v="11"/>
    <n v="6"/>
  </r>
  <r>
    <x v="20"/>
    <x v="1"/>
    <x v="7"/>
    <n v="3"/>
  </r>
  <r>
    <x v="21"/>
    <x v="1"/>
    <x v="8"/>
    <n v="2651"/>
  </r>
  <r>
    <x v="21"/>
    <x v="1"/>
    <x v="9"/>
    <n v="261"/>
  </r>
  <r>
    <x v="21"/>
    <x v="1"/>
    <x v="10"/>
    <n v="1531"/>
  </r>
  <r>
    <x v="21"/>
    <x v="1"/>
    <x v="2"/>
    <n v="174"/>
  </r>
  <r>
    <x v="21"/>
    <x v="1"/>
    <x v="11"/>
    <n v="36"/>
  </r>
  <r>
    <x v="21"/>
    <x v="1"/>
    <x v="4"/>
    <n v="43"/>
  </r>
  <r>
    <x v="21"/>
    <x v="1"/>
    <x v="7"/>
    <n v="12"/>
  </r>
  <r>
    <x v="21"/>
    <x v="1"/>
    <x v="5"/>
    <n v="26"/>
  </r>
  <r>
    <x v="21"/>
    <x v="1"/>
    <x v="6"/>
    <n v="22"/>
  </r>
  <r>
    <x v="33"/>
    <x v="1"/>
    <x v="8"/>
    <n v="5081"/>
  </r>
  <r>
    <x v="33"/>
    <x v="1"/>
    <x v="9"/>
    <n v="829"/>
  </r>
  <r>
    <x v="33"/>
    <x v="1"/>
    <x v="10"/>
    <n v="712"/>
  </r>
  <r>
    <x v="33"/>
    <x v="1"/>
    <x v="2"/>
    <n v="135"/>
  </r>
  <r>
    <x v="33"/>
    <x v="1"/>
    <x v="11"/>
    <n v="94"/>
  </r>
  <r>
    <x v="33"/>
    <x v="1"/>
    <x v="3"/>
    <n v="64"/>
  </r>
  <r>
    <x v="33"/>
    <x v="1"/>
    <x v="4"/>
    <n v="97"/>
  </r>
  <r>
    <x v="33"/>
    <x v="1"/>
    <x v="7"/>
    <n v="24"/>
  </r>
  <r>
    <x v="33"/>
    <x v="1"/>
    <x v="5"/>
    <n v="35"/>
  </r>
  <r>
    <x v="33"/>
    <x v="1"/>
    <x v="6"/>
    <n v="17"/>
  </r>
  <r>
    <x v="22"/>
    <x v="1"/>
    <x v="8"/>
    <n v="2900"/>
  </r>
  <r>
    <x v="22"/>
    <x v="1"/>
    <x v="9"/>
    <n v="75"/>
  </r>
  <r>
    <x v="22"/>
    <x v="1"/>
    <x v="10"/>
    <n v="701"/>
  </r>
  <r>
    <x v="22"/>
    <x v="1"/>
    <x v="2"/>
    <n v="14"/>
  </r>
  <r>
    <x v="22"/>
    <x v="1"/>
    <x v="11"/>
    <n v="14"/>
  </r>
  <r>
    <x v="22"/>
    <x v="1"/>
    <x v="4"/>
    <n v="7"/>
  </r>
  <r>
    <x v="22"/>
    <x v="1"/>
    <x v="7"/>
    <n v="5"/>
  </r>
  <r>
    <x v="22"/>
    <x v="1"/>
    <x v="5"/>
    <n v="4"/>
  </r>
  <r>
    <x v="34"/>
    <x v="1"/>
    <x v="8"/>
    <n v="5065"/>
  </r>
  <r>
    <x v="34"/>
    <x v="1"/>
    <x v="9"/>
    <n v="372"/>
  </r>
  <r>
    <x v="34"/>
    <x v="1"/>
    <x v="10"/>
    <n v="2745"/>
  </r>
  <r>
    <x v="34"/>
    <x v="1"/>
    <x v="2"/>
    <n v="348"/>
  </r>
  <r>
    <x v="34"/>
    <x v="1"/>
    <x v="11"/>
    <n v="35"/>
  </r>
  <r>
    <x v="34"/>
    <x v="1"/>
    <x v="3"/>
    <n v="151"/>
  </r>
  <r>
    <x v="34"/>
    <x v="1"/>
    <x v="4"/>
    <n v="40"/>
  </r>
  <r>
    <x v="34"/>
    <x v="1"/>
    <x v="7"/>
    <n v="10"/>
  </r>
  <r>
    <x v="34"/>
    <x v="1"/>
    <x v="5"/>
    <n v="37"/>
  </r>
  <r>
    <x v="34"/>
    <x v="1"/>
    <x v="6"/>
    <n v="17"/>
  </r>
  <r>
    <x v="35"/>
    <x v="1"/>
    <x v="8"/>
    <n v="6606"/>
  </r>
  <r>
    <x v="35"/>
    <x v="1"/>
    <x v="9"/>
    <n v="885"/>
  </r>
  <r>
    <x v="35"/>
    <x v="1"/>
    <x v="10"/>
    <n v="708"/>
  </r>
  <r>
    <x v="35"/>
    <x v="1"/>
    <x v="2"/>
    <n v="142"/>
  </r>
  <r>
    <x v="35"/>
    <x v="1"/>
    <x v="11"/>
    <n v="116"/>
  </r>
  <r>
    <x v="35"/>
    <x v="1"/>
    <x v="3"/>
    <n v="130"/>
  </r>
  <r>
    <x v="35"/>
    <x v="1"/>
    <x v="4"/>
    <n v="55"/>
  </r>
  <r>
    <x v="35"/>
    <x v="1"/>
    <x v="7"/>
    <n v="31"/>
  </r>
  <r>
    <x v="35"/>
    <x v="1"/>
    <x v="5"/>
    <n v="39"/>
  </r>
  <r>
    <x v="35"/>
    <x v="1"/>
    <x v="6"/>
    <n v="26"/>
  </r>
  <r>
    <x v="0"/>
    <x v="0"/>
    <x v="12"/>
    <n v="759"/>
  </r>
  <r>
    <x v="0"/>
    <x v="0"/>
    <x v="13"/>
    <n v="1251"/>
  </r>
  <r>
    <x v="0"/>
    <x v="0"/>
    <x v="14"/>
    <n v="751"/>
  </r>
  <r>
    <x v="0"/>
    <x v="0"/>
    <x v="15"/>
    <n v="903"/>
  </r>
  <r>
    <x v="0"/>
    <x v="0"/>
    <x v="16"/>
    <n v="581"/>
  </r>
  <r>
    <x v="0"/>
    <x v="0"/>
    <x v="17"/>
    <n v="302"/>
  </r>
  <r>
    <x v="0"/>
    <x v="0"/>
    <x v="18"/>
    <n v="138"/>
  </r>
  <r>
    <x v="0"/>
    <x v="0"/>
    <x v="19"/>
    <n v="48"/>
  </r>
  <r>
    <x v="0"/>
    <x v="0"/>
    <x v="20"/>
    <n v="171"/>
  </r>
  <r>
    <x v="0"/>
    <x v="0"/>
    <x v="21"/>
    <n v="36"/>
  </r>
  <r>
    <x v="0"/>
    <x v="0"/>
    <x v="22"/>
    <n v="749"/>
  </r>
  <r>
    <x v="1"/>
    <x v="0"/>
    <x v="0"/>
    <n v="13601"/>
  </r>
  <r>
    <x v="1"/>
    <x v="0"/>
    <x v="13"/>
    <n v="11341"/>
  </r>
  <r>
    <x v="1"/>
    <x v="0"/>
    <x v="12"/>
    <n v="6803"/>
  </r>
  <r>
    <x v="1"/>
    <x v="0"/>
    <x v="14"/>
    <n v="6864"/>
  </r>
  <r>
    <x v="1"/>
    <x v="0"/>
    <x v="17"/>
    <n v="1498"/>
  </r>
  <r>
    <x v="1"/>
    <x v="0"/>
    <x v="15"/>
    <n v="2451"/>
  </r>
  <r>
    <x v="1"/>
    <x v="0"/>
    <x v="19"/>
    <n v="1223"/>
  </r>
  <r>
    <x v="1"/>
    <x v="0"/>
    <x v="18"/>
    <n v="1241"/>
  </r>
  <r>
    <x v="1"/>
    <x v="0"/>
    <x v="16"/>
    <n v="1756"/>
  </r>
  <r>
    <x v="1"/>
    <x v="0"/>
    <x v="20"/>
    <n v="874"/>
  </r>
  <r>
    <x v="1"/>
    <x v="0"/>
    <x v="21"/>
    <n v="940"/>
  </r>
  <r>
    <x v="1"/>
    <x v="0"/>
    <x v="22"/>
    <n v="4683"/>
  </r>
  <r>
    <x v="23"/>
    <x v="0"/>
    <x v="0"/>
    <n v="22548"/>
  </r>
  <r>
    <x v="23"/>
    <x v="0"/>
    <x v="17"/>
    <n v="8654"/>
  </r>
  <r>
    <x v="23"/>
    <x v="0"/>
    <x v="15"/>
    <n v="7707"/>
  </r>
  <r>
    <x v="23"/>
    <x v="0"/>
    <x v="19"/>
    <n v="4043"/>
  </r>
  <r>
    <x v="23"/>
    <x v="0"/>
    <x v="14"/>
    <n v="8767"/>
  </r>
  <r>
    <x v="23"/>
    <x v="0"/>
    <x v="13"/>
    <n v="3179"/>
  </r>
  <r>
    <x v="23"/>
    <x v="0"/>
    <x v="12"/>
    <n v="3293"/>
  </r>
  <r>
    <x v="23"/>
    <x v="0"/>
    <x v="1"/>
    <n v="1544"/>
  </r>
  <r>
    <x v="23"/>
    <x v="0"/>
    <x v="23"/>
    <n v="762"/>
  </r>
  <r>
    <x v="23"/>
    <x v="0"/>
    <x v="24"/>
    <n v="644"/>
  </r>
  <r>
    <x v="23"/>
    <x v="0"/>
    <x v="25"/>
    <n v="838"/>
  </r>
  <r>
    <x v="23"/>
    <x v="0"/>
    <x v="18"/>
    <n v="520"/>
  </r>
  <r>
    <x v="23"/>
    <x v="0"/>
    <x v="22"/>
    <n v="4315"/>
  </r>
  <r>
    <x v="2"/>
    <x v="0"/>
    <x v="12"/>
    <n v="170"/>
  </r>
  <r>
    <x v="2"/>
    <x v="0"/>
    <x v="13"/>
    <n v="245"/>
  </r>
  <r>
    <x v="2"/>
    <x v="0"/>
    <x v="14"/>
    <n v="147"/>
  </r>
  <r>
    <x v="2"/>
    <x v="0"/>
    <x v="15"/>
    <n v="160"/>
  </r>
  <r>
    <x v="2"/>
    <x v="0"/>
    <x v="16"/>
    <n v="122"/>
  </r>
  <r>
    <x v="2"/>
    <x v="0"/>
    <x v="17"/>
    <n v="9"/>
  </r>
  <r>
    <x v="2"/>
    <x v="0"/>
    <x v="18"/>
    <n v="42"/>
  </r>
  <r>
    <x v="2"/>
    <x v="0"/>
    <x v="19"/>
    <n v="20"/>
  </r>
  <r>
    <x v="2"/>
    <x v="0"/>
    <x v="20"/>
    <n v="54"/>
  </r>
  <r>
    <x v="2"/>
    <x v="0"/>
    <x v="21"/>
    <n v="13"/>
  </r>
  <r>
    <x v="2"/>
    <x v="0"/>
    <x v="22"/>
    <n v="260"/>
  </r>
  <r>
    <x v="9"/>
    <x v="0"/>
    <x v="0"/>
    <n v="9266"/>
  </r>
  <r>
    <x v="9"/>
    <x v="0"/>
    <x v="13"/>
    <n v="10340"/>
  </r>
  <r>
    <x v="9"/>
    <x v="0"/>
    <x v="12"/>
    <n v="2970"/>
  </r>
  <r>
    <x v="9"/>
    <x v="0"/>
    <x v="14"/>
    <n v="6176"/>
  </r>
  <r>
    <x v="9"/>
    <x v="0"/>
    <x v="17"/>
    <n v="478"/>
  </r>
  <r>
    <x v="9"/>
    <x v="0"/>
    <x v="15"/>
    <n v="3337"/>
  </r>
  <r>
    <x v="9"/>
    <x v="0"/>
    <x v="19"/>
    <n v="1812"/>
  </r>
  <r>
    <x v="9"/>
    <x v="0"/>
    <x v="1"/>
    <n v="19"/>
  </r>
  <r>
    <x v="9"/>
    <x v="0"/>
    <x v="18"/>
    <n v="1589"/>
  </r>
  <r>
    <x v="9"/>
    <x v="0"/>
    <x v="16"/>
    <n v="1464"/>
  </r>
  <r>
    <x v="9"/>
    <x v="0"/>
    <x v="20"/>
    <n v="862"/>
  </r>
  <r>
    <x v="9"/>
    <x v="0"/>
    <x v="21"/>
    <n v="646"/>
  </r>
  <r>
    <x v="9"/>
    <x v="0"/>
    <x v="22"/>
    <n v="3455"/>
  </r>
  <r>
    <x v="24"/>
    <x v="0"/>
    <x v="0"/>
    <n v="29447"/>
  </r>
  <r>
    <x v="24"/>
    <x v="0"/>
    <x v="17"/>
    <n v="20188"/>
  </r>
  <r>
    <x v="24"/>
    <x v="0"/>
    <x v="15"/>
    <n v="15243"/>
  </r>
  <r>
    <x v="24"/>
    <x v="0"/>
    <x v="19"/>
    <n v="9976"/>
  </r>
  <r>
    <x v="24"/>
    <x v="0"/>
    <x v="14"/>
    <n v="10659"/>
  </r>
  <r>
    <x v="24"/>
    <x v="0"/>
    <x v="13"/>
    <n v="2873"/>
  </r>
  <r>
    <x v="24"/>
    <x v="0"/>
    <x v="12"/>
    <n v="2085"/>
  </r>
  <r>
    <x v="24"/>
    <x v="0"/>
    <x v="1"/>
    <n v="3831"/>
  </r>
  <r>
    <x v="24"/>
    <x v="0"/>
    <x v="23"/>
    <n v="1792"/>
  </r>
  <r>
    <x v="24"/>
    <x v="0"/>
    <x v="24"/>
    <n v="1185"/>
  </r>
  <r>
    <x v="24"/>
    <x v="0"/>
    <x v="25"/>
    <n v="886"/>
  </r>
  <r>
    <x v="24"/>
    <x v="0"/>
    <x v="18"/>
    <n v="565"/>
  </r>
  <r>
    <x v="24"/>
    <x v="0"/>
    <x v="22"/>
    <n v="6627"/>
  </r>
  <r>
    <x v="3"/>
    <x v="0"/>
    <x v="12"/>
    <n v="1355"/>
  </r>
  <r>
    <x v="3"/>
    <x v="0"/>
    <x v="13"/>
    <n v="984"/>
  </r>
  <r>
    <x v="3"/>
    <x v="0"/>
    <x v="14"/>
    <n v="299"/>
  </r>
  <r>
    <x v="3"/>
    <x v="0"/>
    <x v="15"/>
    <n v="320"/>
  </r>
  <r>
    <x v="3"/>
    <x v="0"/>
    <x v="16"/>
    <n v="460"/>
  </r>
  <r>
    <x v="3"/>
    <x v="0"/>
    <x v="17"/>
    <n v="208"/>
  </r>
  <r>
    <x v="3"/>
    <x v="0"/>
    <x v="18"/>
    <n v="59"/>
  </r>
  <r>
    <x v="3"/>
    <x v="0"/>
    <x v="19"/>
    <n v="176"/>
  </r>
  <r>
    <x v="3"/>
    <x v="0"/>
    <x v="20"/>
    <n v="198"/>
  </r>
  <r>
    <x v="3"/>
    <x v="0"/>
    <x v="21"/>
    <n v="43"/>
  </r>
  <r>
    <x v="3"/>
    <x v="0"/>
    <x v="22"/>
    <n v="567"/>
  </r>
  <r>
    <x v="10"/>
    <x v="0"/>
    <x v="0"/>
    <n v="5897"/>
  </r>
  <r>
    <x v="10"/>
    <x v="0"/>
    <x v="13"/>
    <n v="7554"/>
  </r>
  <r>
    <x v="10"/>
    <x v="0"/>
    <x v="12"/>
    <n v="6836"/>
  </r>
  <r>
    <x v="10"/>
    <x v="0"/>
    <x v="14"/>
    <n v="6919"/>
  </r>
  <r>
    <x v="10"/>
    <x v="0"/>
    <x v="17"/>
    <n v="1983"/>
  </r>
  <r>
    <x v="10"/>
    <x v="0"/>
    <x v="15"/>
    <n v="3829"/>
  </r>
  <r>
    <x v="10"/>
    <x v="0"/>
    <x v="19"/>
    <n v="1824"/>
  </r>
  <r>
    <x v="10"/>
    <x v="0"/>
    <x v="1"/>
    <n v="760"/>
  </r>
  <r>
    <x v="10"/>
    <x v="0"/>
    <x v="18"/>
    <n v="2423"/>
  </r>
  <r>
    <x v="10"/>
    <x v="0"/>
    <x v="16"/>
    <n v="1125"/>
  </r>
  <r>
    <x v="10"/>
    <x v="0"/>
    <x v="20"/>
    <n v="1005"/>
  </r>
  <r>
    <x v="10"/>
    <x v="0"/>
    <x v="21"/>
    <n v="568"/>
  </r>
  <r>
    <x v="10"/>
    <x v="0"/>
    <x v="22"/>
    <n v="3658"/>
  </r>
  <r>
    <x v="25"/>
    <x v="0"/>
    <x v="0"/>
    <n v="17768"/>
  </r>
  <r>
    <x v="25"/>
    <x v="0"/>
    <x v="17"/>
    <n v="7772"/>
  </r>
  <r>
    <x v="25"/>
    <x v="0"/>
    <x v="15"/>
    <n v="4547"/>
  </r>
  <r>
    <x v="25"/>
    <x v="0"/>
    <x v="19"/>
    <n v="2975"/>
  </r>
  <r>
    <x v="25"/>
    <x v="0"/>
    <x v="14"/>
    <n v="3006"/>
  </r>
  <r>
    <x v="25"/>
    <x v="0"/>
    <x v="13"/>
    <n v="2588"/>
  </r>
  <r>
    <x v="25"/>
    <x v="0"/>
    <x v="12"/>
    <n v="1123"/>
  </r>
  <r>
    <x v="25"/>
    <x v="0"/>
    <x v="1"/>
    <n v="419"/>
  </r>
  <r>
    <x v="25"/>
    <x v="0"/>
    <x v="23"/>
    <n v="189"/>
  </r>
  <r>
    <x v="25"/>
    <x v="0"/>
    <x v="24"/>
    <n v="82"/>
  </r>
  <r>
    <x v="25"/>
    <x v="0"/>
    <x v="25"/>
    <n v="201"/>
  </r>
  <r>
    <x v="25"/>
    <x v="0"/>
    <x v="18"/>
    <n v="705"/>
  </r>
  <r>
    <x v="25"/>
    <x v="0"/>
    <x v="22"/>
    <n v="4466"/>
  </r>
  <r>
    <x v="4"/>
    <x v="0"/>
    <x v="12"/>
    <n v="4557"/>
  </r>
  <r>
    <x v="4"/>
    <x v="0"/>
    <x v="13"/>
    <n v="2633"/>
  </r>
  <r>
    <x v="4"/>
    <x v="0"/>
    <x v="14"/>
    <n v="663"/>
  </r>
  <r>
    <x v="4"/>
    <x v="0"/>
    <x v="15"/>
    <n v="1799"/>
  </r>
  <r>
    <x v="4"/>
    <x v="0"/>
    <x v="16"/>
    <n v="1417"/>
  </r>
  <r>
    <x v="4"/>
    <x v="0"/>
    <x v="17"/>
    <n v="648"/>
  </r>
  <r>
    <x v="4"/>
    <x v="0"/>
    <x v="18"/>
    <n v="321"/>
  </r>
  <r>
    <x v="4"/>
    <x v="0"/>
    <x v="19"/>
    <n v="730"/>
  </r>
  <r>
    <x v="4"/>
    <x v="0"/>
    <x v="20"/>
    <n v="494"/>
  </r>
  <r>
    <x v="4"/>
    <x v="0"/>
    <x v="21"/>
    <n v="212"/>
  </r>
  <r>
    <x v="4"/>
    <x v="0"/>
    <x v="22"/>
    <n v="1202"/>
  </r>
  <r>
    <x v="11"/>
    <x v="0"/>
    <x v="0"/>
    <n v="3864"/>
  </r>
  <r>
    <x v="11"/>
    <x v="0"/>
    <x v="13"/>
    <n v="8394"/>
  </r>
  <r>
    <x v="11"/>
    <x v="0"/>
    <x v="12"/>
    <n v="9334"/>
  </r>
  <r>
    <x v="11"/>
    <x v="0"/>
    <x v="14"/>
    <n v="6812"/>
  </r>
  <r>
    <x v="11"/>
    <x v="0"/>
    <x v="17"/>
    <n v="4348"/>
  </r>
  <r>
    <x v="11"/>
    <x v="0"/>
    <x v="15"/>
    <n v="1289"/>
  </r>
  <r>
    <x v="11"/>
    <x v="0"/>
    <x v="19"/>
    <n v="2482"/>
  </r>
  <r>
    <x v="11"/>
    <x v="0"/>
    <x v="1"/>
    <n v="1076"/>
  </r>
  <r>
    <x v="11"/>
    <x v="0"/>
    <x v="18"/>
    <n v="2318"/>
  </r>
  <r>
    <x v="11"/>
    <x v="0"/>
    <x v="16"/>
    <n v="1000"/>
  </r>
  <r>
    <x v="11"/>
    <x v="0"/>
    <x v="20"/>
    <n v="1245"/>
  </r>
  <r>
    <x v="11"/>
    <x v="0"/>
    <x v="21"/>
    <n v="880"/>
  </r>
  <r>
    <x v="11"/>
    <x v="0"/>
    <x v="22"/>
    <n v="3562"/>
  </r>
  <r>
    <x v="26"/>
    <x v="0"/>
    <x v="0"/>
    <n v="19409"/>
  </r>
  <r>
    <x v="26"/>
    <x v="0"/>
    <x v="17"/>
    <n v="10272"/>
  </r>
  <r>
    <x v="26"/>
    <x v="0"/>
    <x v="15"/>
    <n v="6604"/>
  </r>
  <r>
    <x v="26"/>
    <x v="0"/>
    <x v="19"/>
    <n v="4081"/>
  </r>
  <r>
    <x v="26"/>
    <x v="0"/>
    <x v="14"/>
    <n v="3530"/>
  </r>
  <r>
    <x v="26"/>
    <x v="0"/>
    <x v="13"/>
    <n v="2238"/>
  </r>
  <r>
    <x v="26"/>
    <x v="0"/>
    <x v="12"/>
    <n v="770"/>
  </r>
  <r>
    <x v="26"/>
    <x v="0"/>
    <x v="1"/>
    <n v="775"/>
  </r>
  <r>
    <x v="26"/>
    <x v="0"/>
    <x v="23"/>
    <n v="653"/>
  </r>
  <r>
    <x v="26"/>
    <x v="0"/>
    <x v="24"/>
    <n v="133"/>
  </r>
  <r>
    <x v="26"/>
    <x v="0"/>
    <x v="25"/>
    <n v="229"/>
  </r>
  <r>
    <x v="26"/>
    <x v="0"/>
    <x v="18"/>
    <n v="478"/>
  </r>
  <r>
    <x v="26"/>
    <x v="0"/>
    <x v="22"/>
    <n v="5020"/>
  </r>
  <r>
    <x v="5"/>
    <x v="0"/>
    <x v="12"/>
    <n v="5527"/>
  </r>
  <r>
    <x v="5"/>
    <x v="0"/>
    <x v="13"/>
    <n v="2894"/>
  </r>
  <r>
    <x v="5"/>
    <x v="0"/>
    <x v="14"/>
    <n v="810"/>
  </r>
  <r>
    <x v="5"/>
    <x v="0"/>
    <x v="15"/>
    <n v="1613"/>
  </r>
  <r>
    <x v="5"/>
    <x v="0"/>
    <x v="16"/>
    <n v="1094"/>
  </r>
  <r>
    <x v="5"/>
    <x v="0"/>
    <x v="17"/>
    <n v="651"/>
  </r>
  <r>
    <x v="5"/>
    <x v="0"/>
    <x v="18"/>
    <n v="853"/>
  </r>
  <r>
    <x v="5"/>
    <x v="0"/>
    <x v="19"/>
    <n v="796"/>
  </r>
  <r>
    <x v="5"/>
    <x v="0"/>
    <x v="20"/>
    <n v="325"/>
  </r>
  <r>
    <x v="5"/>
    <x v="0"/>
    <x v="21"/>
    <n v="208"/>
  </r>
  <r>
    <x v="5"/>
    <x v="0"/>
    <x v="22"/>
    <n v="1279"/>
  </r>
  <r>
    <x v="12"/>
    <x v="0"/>
    <x v="0"/>
    <n v="3475"/>
  </r>
  <r>
    <x v="12"/>
    <x v="0"/>
    <x v="13"/>
    <n v="8756"/>
  </r>
  <r>
    <x v="12"/>
    <x v="0"/>
    <x v="12"/>
    <n v="9925"/>
  </r>
  <r>
    <x v="12"/>
    <x v="0"/>
    <x v="14"/>
    <n v="6771"/>
  </r>
  <r>
    <x v="12"/>
    <x v="0"/>
    <x v="17"/>
    <n v="6426"/>
  </r>
  <r>
    <x v="12"/>
    <x v="0"/>
    <x v="15"/>
    <n v="5376"/>
  </r>
  <r>
    <x v="12"/>
    <x v="0"/>
    <x v="19"/>
    <n v="2620"/>
  </r>
  <r>
    <x v="12"/>
    <x v="0"/>
    <x v="1"/>
    <n v="905"/>
  </r>
  <r>
    <x v="12"/>
    <x v="0"/>
    <x v="18"/>
    <n v="1662"/>
  </r>
  <r>
    <x v="12"/>
    <x v="0"/>
    <x v="16"/>
    <n v="880"/>
  </r>
  <r>
    <x v="12"/>
    <x v="0"/>
    <x v="20"/>
    <n v="1099"/>
  </r>
  <r>
    <x v="12"/>
    <x v="0"/>
    <x v="21"/>
    <n v="653"/>
  </r>
  <r>
    <x v="12"/>
    <x v="0"/>
    <x v="22"/>
    <n v="3678"/>
  </r>
  <r>
    <x v="27"/>
    <x v="0"/>
    <x v="0"/>
    <n v="18983"/>
  </r>
  <r>
    <x v="27"/>
    <x v="0"/>
    <x v="17"/>
    <n v="15296"/>
  </r>
  <r>
    <x v="27"/>
    <x v="0"/>
    <x v="15"/>
    <n v="7065"/>
  </r>
  <r>
    <x v="27"/>
    <x v="0"/>
    <x v="19"/>
    <n v="6508"/>
  </r>
  <r>
    <x v="27"/>
    <x v="0"/>
    <x v="14"/>
    <n v="3654"/>
  </r>
  <r>
    <x v="27"/>
    <x v="0"/>
    <x v="13"/>
    <n v="1977"/>
  </r>
  <r>
    <x v="27"/>
    <x v="0"/>
    <x v="12"/>
    <n v="774"/>
  </r>
  <r>
    <x v="27"/>
    <x v="0"/>
    <x v="1"/>
    <n v="1137"/>
  </r>
  <r>
    <x v="27"/>
    <x v="0"/>
    <x v="23"/>
    <n v="912"/>
  </r>
  <r>
    <x v="27"/>
    <x v="0"/>
    <x v="24"/>
    <n v="287"/>
  </r>
  <r>
    <x v="27"/>
    <x v="0"/>
    <x v="25"/>
    <n v="380"/>
  </r>
  <r>
    <x v="27"/>
    <x v="0"/>
    <x v="18"/>
    <n v="508"/>
  </r>
  <r>
    <x v="27"/>
    <x v="0"/>
    <x v="22"/>
    <n v="4990"/>
  </r>
  <r>
    <x v="6"/>
    <x v="0"/>
    <x v="12"/>
    <n v="6727"/>
  </r>
  <r>
    <x v="6"/>
    <x v="0"/>
    <x v="13"/>
    <n v="3321"/>
  </r>
  <r>
    <x v="6"/>
    <x v="0"/>
    <x v="14"/>
    <n v="807"/>
  </r>
  <r>
    <x v="6"/>
    <x v="0"/>
    <x v="15"/>
    <n v="2174"/>
  </r>
  <r>
    <x v="6"/>
    <x v="0"/>
    <x v="16"/>
    <n v="1337"/>
  </r>
  <r>
    <x v="6"/>
    <x v="0"/>
    <x v="17"/>
    <n v="688"/>
  </r>
  <r>
    <x v="6"/>
    <x v="0"/>
    <x v="18"/>
    <n v="499"/>
  </r>
  <r>
    <x v="6"/>
    <x v="0"/>
    <x v="19"/>
    <n v="381"/>
  </r>
  <r>
    <x v="6"/>
    <x v="0"/>
    <x v="20"/>
    <n v="337"/>
  </r>
  <r>
    <x v="6"/>
    <x v="0"/>
    <x v="21"/>
    <n v="134"/>
  </r>
  <r>
    <x v="6"/>
    <x v="0"/>
    <x v="22"/>
    <n v="1627"/>
  </r>
  <r>
    <x v="13"/>
    <x v="0"/>
    <x v="0"/>
    <n v="8065"/>
  </r>
  <r>
    <x v="13"/>
    <x v="0"/>
    <x v="13"/>
    <n v="8497"/>
  </r>
  <r>
    <x v="13"/>
    <x v="0"/>
    <x v="12"/>
    <n v="8208"/>
  </r>
  <r>
    <x v="13"/>
    <x v="0"/>
    <x v="14"/>
    <n v="6488"/>
  </r>
  <r>
    <x v="13"/>
    <x v="0"/>
    <x v="17"/>
    <n v="4001"/>
  </r>
  <r>
    <x v="13"/>
    <x v="0"/>
    <x v="15"/>
    <n v="6280"/>
  </r>
  <r>
    <x v="13"/>
    <x v="0"/>
    <x v="19"/>
    <n v="3649"/>
  </r>
  <r>
    <x v="13"/>
    <x v="0"/>
    <x v="1"/>
    <n v="954"/>
  </r>
  <r>
    <x v="13"/>
    <x v="0"/>
    <x v="18"/>
    <n v="865"/>
  </r>
  <r>
    <x v="13"/>
    <x v="0"/>
    <x v="16"/>
    <n v="790"/>
  </r>
  <r>
    <x v="13"/>
    <x v="0"/>
    <x v="20"/>
    <n v="975"/>
  </r>
  <r>
    <x v="13"/>
    <x v="0"/>
    <x v="21"/>
    <n v="661"/>
  </r>
  <r>
    <x v="13"/>
    <x v="0"/>
    <x v="22"/>
    <n v="3849"/>
  </r>
  <r>
    <x v="28"/>
    <x v="0"/>
    <x v="0"/>
    <n v="18926"/>
  </r>
  <r>
    <x v="28"/>
    <x v="0"/>
    <x v="17"/>
    <n v="15425"/>
  </r>
  <r>
    <x v="28"/>
    <x v="0"/>
    <x v="15"/>
    <n v="7107"/>
  </r>
  <r>
    <x v="28"/>
    <x v="0"/>
    <x v="19"/>
    <n v="7019"/>
  </r>
  <r>
    <x v="28"/>
    <x v="0"/>
    <x v="14"/>
    <n v="4148"/>
  </r>
  <r>
    <x v="28"/>
    <x v="0"/>
    <x v="13"/>
    <n v="1769"/>
  </r>
  <r>
    <x v="28"/>
    <x v="0"/>
    <x v="12"/>
    <n v="835"/>
  </r>
  <r>
    <x v="28"/>
    <x v="0"/>
    <x v="1"/>
    <n v="873"/>
  </r>
  <r>
    <x v="28"/>
    <x v="0"/>
    <x v="23"/>
    <n v="924"/>
  </r>
  <r>
    <x v="28"/>
    <x v="0"/>
    <x v="24"/>
    <n v="255"/>
  </r>
  <r>
    <x v="28"/>
    <x v="0"/>
    <x v="25"/>
    <n v="231"/>
  </r>
  <r>
    <x v="28"/>
    <x v="0"/>
    <x v="18"/>
    <n v="879"/>
  </r>
  <r>
    <x v="28"/>
    <x v="0"/>
    <x v="22"/>
    <n v="5355"/>
  </r>
  <r>
    <x v="7"/>
    <x v="0"/>
    <x v="12"/>
    <n v="6799"/>
  </r>
  <r>
    <x v="7"/>
    <x v="0"/>
    <x v="13"/>
    <n v="4166"/>
  </r>
  <r>
    <x v="7"/>
    <x v="0"/>
    <x v="14"/>
    <n v="1083"/>
  </r>
  <r>
    <x v="7"/>
    <x v="0"/>
    <x v="15"/>
    <n v="2647"/>
  </r>
  <r>
    <x v="7"/>
    <x v="0"/>
    <x v="16"/>
    <n v="1400"/>
  </r>
  <r>
    <x v="7"/>
    <x v="0"/>
    <x v="17"/>
    <n v="486"/>
  </r>
  <r>
    <x v="7"/>
    <x v="0"/>
    <x v="18"/>
    <n v="900"/>
  </r>
  <r>
    <x v="7"/>
    <x v="0"/>
    <x v="19"/>
    <n v="754"/>
  </r>
  <r>
    <x v="7"/>
    <x v="0"/>
    <x v="20"/>
    <n v="469"/>
  </r>
  <r>
    <x v="7"/>
    <x v="0"/>
    <x v="21"/>
    <n v="283"/>
  </r>
  <r>
    <x v="7"/>
    <x v="0"/>
    <x v="22"/>
    <n v="1826"/>
  </r>
  <r>
    <x v="14"/>
    <x v="0"/>
    <x v="0"/>
    <n v="15391"/>
  </r>
  <r>
    <x v="14"/>
    <x v="0"/>
    <x v="13"/>
    <n v="14950"/>
  </r>
  <r>
    <x v="14"/>
    <x v="0"/>
    <x v="12"/>
    <n v="8868"/>
  </r>
  <r>
    <x v="14"/>
    <x v="0"/>
    <x v="14"/>
    <n v="10113"/>
  </r>
  <r>
    <x v="14"/>
    <x v="0"/>
    <x v="17"/>
    <n v="5820"/>
  </r>
  <r>
    <x v="14"/>
    <x v="0"/>
    <x v="15"/>
    <n v="7356"/>
  </r>
  <r>
    <x v="14"/>
    <x v="0"/>
    <x v="19"/>
    <n v="3549"/>
  </r>
  <r>
    <x v="14"/>
    <x v="0"/>
    <x v="1"/>
    <n v="1968"/>
  </r>
  <r>
    <x v="14"/>
    <x v="0"/>
    <x v="18"/>
    <n v="1041"/>
  </r>
  <r>
    <x v="14"/>
    <x v="0"/>
    <x v="16"/>
    <n v="1047"/>
  </r>
  <r>
    <x v="14"/>
    <x v="0"/>
    <x v="20"/>
    <n v="1422"/>
  </r>
  <r>
    <x v="14"/>
    <x v="0"/>
    <x v="21"/>
    <n v="1111"/>
  </r>
  <r>
    <x v="14"/>
    <x v="0"/>
    <x v="22"/>
    <n v="4614"/>
  </r>
  <r>
    <x v="29"/>
    <x v="0"/>
    <x v="0"/>
    <n v="23968"/>
  </r>
  <r>
    <x v="29"/>
    <x v="0"/>
    <x v="17"/>
    <n v="16309"/>
  </r>
  <r>
    <x v="29"/>
    <x v="0"/>
    <x v="15"/>
    <n v="8375"/>
  </r>
  <r>
    <x v="29"/>
    <x v="0"/>
    <x v="19"/>
    <n v="8960"/>
  </r>
  <r>
    <x v="29"/>
    <x v="0"/>
    <x v="14"/>
    <n v="4487"/>
  </r>
  <r>
    <x v="29"/>
    <x v="0"/>
    <x v="13"/>
    <n v="1457"/>
  </r>
  <r>
    <x v="29"/>
    <x v="0"/>
    <x v="12"/>
    <n v="658"/>
  </r>
  <r>
    <x v="29"/>
    <x v="0"/>
    <x v="1"/>
    <n v="863"/>
  </r>
  <r>
    <x v="29"/>
    <x v="0"/>
    <x v="23"/>
    <n v="1157"/>
  </r>
  <r>
    <x v="29"/>
    <x v="0"/>
    <x v="24"/>
    <n v="227"/>
  </r>
  <r>
    <x v="29"/>
    <x v="0"/>
    <x v="25"/>
    <n v="389"/>
  </r>
  <r>
    <x v="29"/>
    <x v="0"/>
    <x v="18"/>
    <n v="681"/>
  </r>
  <r>
    <x v="29"/>
    <x v="0"/>
    <x v="22"/>
    <n v="7092"/>
  </r>
  <r>
    <x v="8"/>
    <x v="0"/>
    <x v="12"/>
    <n v="7493"/>
  </r>
  <r>
    <x v="8"/>
    <x v="0"/>
    <x v="13"/>
    <n v="5542"/>
  </r>
  <r>
    <x v="8"/>
    <x v="0"/>
    <x v="14"/>
    <n v="2077"/>
  </r>
  <r>
    <x v="8"/>
    <x v="0"/>
    <x v="15"/>
    <n v="2202"/>
  </r>
  <r>
    <x v="8"/>
    <x v="0"/>
    <x v="16"/>
    <n v="1688"/>
  </r>
  <r>
    <x v="8"/>
    <x v="0"/>
    <x v="17"/>
    <n v="522"/>
  </r>
  <r>
    <x v="8"/>
    <x v="0"/>
    <x v="18"/>
    <n v="780"/>
  </r>
  <r>
    <x v="8"/>
    <x v="0"/>
    <x v="19"/>
    <n v="728"/>
  </r>
  <r>
    <x v="8"/>
    <x v="0"/>
    <x v="20"/>
    <n v="912"/>
  </r>
  <r>
    <x v="8"/>
    <x v="0"/>
    <x v="21"/>
    <n v="273"/>
  </r>
  <r>
    <x v="8"/>
    <x v="0"/>
    <x v="22"/>
    <n v="2317"/>
  </r>
  <r>
    <x v="15"/>
    <x v="0"/>
    <x v="0"/>
    <n v="15797"/>
  </r>
  <r>
    <x v="15"/>
    <x v="0"/>
    <x v="13"/>
    <n v="9068"/>
  </r>
  <r>
    <x v="15"/>
    <x v="0"/>
    <x v="12"/>
    <n v="9026"/>
  </r>
  <r>
    <x v="15"/>
    <x v="0"/>
    <x v="14"/>
    <n v="12446"/>
  </r>
  <r>
    <x v="15"/>
    <x v="0"/>
    <x v="17"/>
    <n v="8147"/>
  </r>
  <r>
    <x v="15"/>
    <x v="0"/>
    <x v="15"/>
    <n v="7837"/>
  </r>
  <r>
    <x v="15"/>
    <x v="0"/>
    <x v="19"/>
    <n v="3057"/>
  </r>
  <r>
    <x v="15"/>
    <x v="0"/>
    <x v="1"/>
    <n v="1783"/>
  </r>
  <r>
    <x v="15"/>
    <x v="0"/>
    <x v="18"/>
    <n v="524"/>
  </r>
  <r>
    <x v="15"/>
    <x v="0"/>
    <x v="16"/>
    <n v="925"/>
  </r>
  <r>
    <x v="15"/>
    <x v="0"/>
    <x v="20"/>
    <n v="1216"/>
  </r>
  <r>
    <x v="15"/>
    <x v="0"/>
    <x v="21"/>
    <n v="1256"/>
  </r>
  <r>
    <x v="15"/>
    <x v="0"/>
    <x v="22"/>
    <n v="5693"/>
  </r>
  <r>
    <x v="30"/>
    <x v="0"/>
    <x v="0"/>
    <n v="29980"/>
  </r>
  <r>
    <x v="30"/>
    <x v="0"/>
    <x v="17"/>
    <n v="18914"/>
  </r>
  <r>
    <x v="30"/>
    <x v="0"/>
    <x v="15"/>
    <n v="9220"/>
  </r>
  <r>
    <x v="30"/>
    <x v="0"/>
    <x v="19"/>
    <n v="11769"/>
  </r>
  <r>
    <x v="30"/>
    <x v="0"/>
    <x v="14"/>
    <n v="4638"/>
  </r>
  <r>
    <x v="30"/>
    <x v="0"/>
    <x v="13"/>
    <n v="1587"/>
  </r>
  <r>
    <x v="30"/>
    <x v="0"/>
    <x v="12"/>
    <n v="814"/>
  </r>
  <r>
    <x v="30"/>
    <x v="0"/>
    <x v="1"/>
    <n v="1281"/>
  </r>
  <r>
    <x v="30"/>
    <x v="0"/>
    <x v="23"/>
    <n v="1589"/>
  </r>
  <r>
    <x v="30"/>
    <x v="0"/>
    <x v="24"/>
    <n v="659"/>
  </r>
  <r>
    <x v="30"/>
    <x v="0"/>
    <x v="25"/>
    <n v="422"/>
  </r>
  <r>
    <x v="30"/>
    <x v="0"/>
    <x v="18"/>
    <n v="663"/>
  </r>
  <r>
    <x v="30"/>
    <x v="0"/>
    <x v="22"/>
    <n v="9707"/>
  </r>
  <r>
    <x v="16"/>
    <x v="0"/>
    <x v="12"/>
    <n v="6402"/>
  </r>
  <r>
    <x v="16"/>
    <x v="0"/>
    <x v="13"/>
    <n v="6184"/>
  </r>
  <r>
    <x v="16"/>
    <x v="0"/>
    <x v="14"/>
    <n v="3410"/>
  </r>
  <r>
    <x v="16"/>
    <x v="0"/>
    <x v="15"/>
    <n v="1813"/>
  </r>
  <r>
    <x v="16"/>
    <x v="0"/>
    <x v="16"/>
    <n v="1685"/>
  </r>
  <r>
    <x v="16"/>
    <x v="0"/>
    <x v="0"/>
    <n v="240"/>
  </r>
  <r>
    <x v="16"/>
    <x v="0"/>
    <x v="17"/>
    <n v="1119"/>
  </r>
  <r>
    <x v="16"/>
    <x v="0"/>
    <x v="18"/>
    <n v="835"/>
  </r>
  <r>
    <x v="16"/>
    <x v="0"/>
    <x v="19"/>
    <n v="642"/>
  </r>
  <r>
    <x v="16"/>
    <x v="0"/>
    <x v="20"/>
    <n v="1190"/>
  </r>
  <r>
    <x v="16"/>
    <x v="0"/>
    <x v="21"/>
    <n v="503"/>
  </r>
  <r>
    <x v="16"/>
    <x v="0"/>
    <x v="22"/>
    <n v="2603"/>
  </r>
  <r>
    <x v="17"/>
    <x v="0"/>
    <x v="0"/>
    <n v="16919"/>
  </r>
  <r>
    <x v="17"/>
    <x v="0"/>
    <x v="13"/>
    <n v="5281"/>
  </r>
  <r>
    <x v="17"/>
    <x v="0"/>
    <x v="12"/>
    <n v="8100"/>
  </r>
  <r>
    <x v="17"/>
    <x v="0"/>
    <x v="14"/>
    <n v="4592"/>
  </r>
  <r>
    <x v="17"/>
    <x v="0"/>
    <x v="17"/>
    <n v="9363"/>
  </r>
  <r>
    <x v="17"/>
    <x v="0"/>
    <x v="15"/>
    <n v="7693"/>
  </r>
  <r>
    <x v="17"/>
    <x v="0"/>
    <x v="19"/>
    <n v="3240"/>
  </r>
  <r>
    <x v="17"/>
    <x v="0"/>
    <x v="1"/>
    <n v="1445"/>
  </r>
  <r>
    <x v="17"/>
    <x v="0"/>
    <x v="18"/>
    <n v="37"/>
  </r>
  <r>
    <x v="17"/>
    <x v="0"/>
    <x v="16"/>
    <n v="780"/>
  </r>
  <r>
    <x v="17"/>
    <x v="0"/>
    <x v="20"/>
    <n v="966"/>
  </r>
  <r>
    <x v="17"/>
    <x v="0"/>
    <x v="21"/>
    <n v="668"/>
  </r>
  <r>
    <x v="17"/>
    <x v="0"/>
    <x v="22"/>
    <n v="5557"/>
  </r>
  <r>
    <x v="31"/>
    <x v="0"/>
    <x v="0"/>
    <n v="30588"/>
  </r>
  <r>
    <x v="31"/>
    <x v="0"/>
    <x v="17"/>
    <n v="12171"/>
  </r>
  <r>
    <x v="31"/>
    <x v="0"/>
    <x v="15"/>
    <n v="6471"/>
  </r>
  <r>
    <x v="31"/>
    <x v="0"/>
    <x v="19"/>
    <n v="10292"/>
  </r>
  <r>
    <x v="31"/>
    <x v="0"/>
    <x v="14"/>
    <n v="3309"/>
  </r>
  <r>
    <x v="31"/>
    <x v="0"/>
    <x v="13"/>
    <n v="953"/>
  </r>
  <r>
    <x v="31"/>
    <x v="0"/>
    <x v="12"/>
    <n v="545"/>
  </r>
  <r>
    <x v="31"/>
    <x v="0"/>
    <x v="1"/>
    <n v="700"/>
  </r>
  <r>
    <x v="31"/>
    <x v="0"/>
    <x v="23"/>
    <n v="1200"/>
  </r>
  <r>
    <x v="31"/>
    <x v="0"/>
    <x v="24"/>
    <n v="241"/>
  </r>
  <r>
    <x v="31"/>
    <x v="0"/>
    <x v="25"/>
    <n v="660"/>
  </r>
  <r>
    <x v="31"/>
    <x v="0"/>
    <x v="18"/>
    <n v="673"/>
  </r>
  <r>
    <x v="31"/>
    <x v="0"/>
    <x v="22"/>
    <n v="7691"/>
  </r>
  <r>
    <x v="18"/>
    <x v="0"/>
    <x v="12"/>
    <n v="8238"/>
  </r>
  <r>
    <x v="18"/>
    <x v="0"/>
    <x v="13"/>
    <n v="5737"/>
  </r>
  <r>
    <x v="18"/>
    <x v="0"/>
    <x v="14"/>
    <n v="4366"/>
  </r>
  <r>
    <x v="18"/>
    <x v="0"/>
    <x v="15"/>
    <n v="1881"/>
  </r>
  <r>
    <x v="18"/>
    <x v="0"/>
    <x v="16"/>
    <n v="1691"/>
  </r>
  <r>
    <x v="18"/>
    <x v="0"/>
    <x v="0"/>
    <n v="1107"/>
  </r>
  <r>
    <x v="18"/>
    <x v="0"/>
    <x v="17"/>
    <n v="1155"/>
  </r>
  <r>
    <x v="18"/>
    <x v="0"/>
    <x v="18"/>
    <n v="673"/>
  </r>
  <r>
    <x v="18"/>
    <x v="0"/>
    <x v="19"/>
    <n v="612"/>
  </r>
  <r>
    <x v="18"/>
    <x v="0"/>
    <x v="20"/>
    <n v="1062"/>
  </r>
  <r>
    <x v="18"/>
    <x v="0"/>
    <x v="21"/>
    <n v="535"/>
  </r>
  <r>
    <x v="18"/>
    <x v="0"/>
    <x v="22"/>
    <n v="3065"/>
  </r>
  <r>
    <x v="19"/>
    <x v="0"/>
    <x v="0"/>
    <n v="20148"/>
  </r>
  <r>
    <x v="19"/>
    <x v="0"/>
    <x v="13"/>
    <n v="4407"/>
  </r>
  <r>
    <x v="19"/>
    <x v="0"/>
    <x v="12"/>
    <n v="6399"/>
  </r>
  <r>
    <x v="19"/>
    <x v="0"/>
    <x v="14"/>
    <n v="4456"/>
  </r>
  <r>
    <x v="19"/>
    <x v="0"/>
    <x v="17"/>
    <n v="10462"/>
  </r>
  <r>
    <x v="19"/>
    <x v="0"/>
    <x v="15"/>
    <n v="9224"/>
  </r>
  <r>
    <x v="19"/>
    <x v="0"/>
    <x v="19"/>
    <n v="2252"/>
  </r>
  <r>
    <x v="19"/>
    <x v="0"/>
    <x v="1"/>
    <n v="1265"/>
  </r>
  <r>
    <x v="19"/>
    <x v="0"/>
    <x v="18"/>
    <n v="14"/>
  </r>
  <r>
    <x v="19"/>
    <x v="0"/>
    <x v="16"/>
    <n v="717"/>
  </r>
  <r>
    <x v="19"/>
    <x v="0"/>
    <x v="20"/>
    <n v="571"/>
  </r>
  <r>
    <x v="19"/>
    <x v="0"/>
    <x v="21"/>
    <n v="522"/>
  </r>
  <r>
    <x v="19"/>
    <x v="0"/>
    <x v="22"/>
    <n v="4241"/>
  </r>
  <r>
    <x v="32"/>
    <x v="0"/>
    <x v="0"/>
    <n v="32275"/>
  </r>
  <r>
    <x v="32"/>
    <x v="0"/>
    <x v="17"/>
    <n v="15153"/>
  </r>
  <r>
    <x v="32"/>
    <x v="0"/>
    <x v="15"/>
    <n v="9244"/>
  </r>
  <r>
    <x v="32"/>
    <x v="0"/>
    <x v="19"/>
    <n v="10753"/>
  </r>
  <r>
    <x v="32"/>
    <x v="0"/>
    <x v="14"/>
    <n v="2505"/>
  </r>
  <r>
    <x v="32"/>
    <x v="0"/>
    <x v="13"/>
    <n v="675"/>
  </r>
  <r>
    <x v="32"/>
    <x v="0"/>
    <x v="12"/>
    <n v="413"/>
  </r>
  <r>
    <x v="32"/>
    <x v="0"/>
    <x v="1"/>
    <n v="574"/>
  </r>
  <r>
    <x v="32"/>
    <x v="0"/>
    <x v="23"/>
    <n v="1469"/>
  </r>
  <r>
    <x v="32"/>
    <x v="0"/>
    <x v="24"/>
    <n v="284"/>
  </r>
  <r>
    <x v="32"/>
    <x v="0"/>
    <x v="25"/>
    <n v="810"/>
  </r>
  <r>
    <x v="32"/>
    <x v="0"/>
    <x v="18"/>
    <n v="524"/>
  </r>
  <r>
    <x v="32"/>
    <x v="0"/>
    <x v="22"/>
    <n v="6664"/>
  </r>
  <r>
    <x v="20"/>
    <x v="0"/>
    <x v="12"/>
    <n v="7773"/>
  </r>
  <r>
    <x v="20"/>
    <x v="0"/>
    <x v="13"/>
    <n v="6122"/>
  </r>
  <r>
    <x v="20"/>
    <x v="0"/>
    <x v="14"/>
    <n v="4431"/>
  </r>
  <r>
    <x v="20"/>
    <x v="0"/>
    <x v="15"/>
    <n v="2232"/>
  </r>
  <r>
    <x v="20"/>
    <x v="0"/>
    <x v="16"/>
    <n v="1428"/>
  </r>
  <r>
    <x v="20"/>
    <x v="0"/>
    <x v="0"/>
    <n v="3911"/>
  </r>
  <r>
    <x v="20"/>
    <x v="0"/>
    <x v="17"/>
    <n v="1560"/>
  </r>
  <r>
    <x v="20"/>
    <x v="0"/>
    <x v="18"/>
    <n v="1128"/>
  </r>
  <r>
    <x v="20"/>
    <x v="0"/>
    <x v="19"/>
    <n v="1372"/>
  </r>
  <r>
    <x v="20"/>
    <x v="0"/>
    <x v="20"/>
    <n v="1149"/>
  </r>
  <r>
    <x v="20"/>
    <x v="0"/>
    <x v="21"/>
    <n v="583"/>
  </r>
  <r>
    <x v="20"/>
    <x v="0"/>
    <x v="22"/>
    <n v="4033"/>
  </r>
  <r>
    <x v="21"/>
    <x v="0"/>
    <x v="0"/>
    <n v="17762"/>
  </r>
  <r>
    <x v="21"/>
    <x v="0"/>
    <x v="13"/>
    <n v="3848"/>
  </r>
  <r>
    <x v="21"/>
    <x v="0"/>
    <x v="12"/>
    <n v="5863"/>
  </r>
  <r>
    <x v="21"/>
    <x v="0"/>
    <x v="14"/>
    <n v="6003"/>
  </r>
  <r>
    <x v="21"/>
    <x v="0"/>
    <x v="17"/>
    <n v="12671"/>
  </r>
  <r>
    <x v="21"/>
    <x v="0"/>
    <x v="15"/>
    <n v="10069"/>
  </r>
  <r>
    <x v="21"/>
    <x v="0"/>
    <x v="19"/>
    <n v="2537"/>
  </r>
  <r>
    <x v="21"/>
    <x v="0"/>
    <x v="1"/>
    <n v="1232"/>
  </r>
  <r>
    <x v="21"/>
    <x v="0"/>
    <x v="18"/>
    <n v="79"/>
  </r>
  <r>
    <x v="21"/>
    <x v="0"/>
    <x v="16"/>
    <n v="488"/>
  </r>
  <r>
    <x v="21"/>
    <x v="0"/>
    <x v="20"/>
    <n v="337"/>
  </r>
  <r>
    <x v="21"/>
    <x v="0"/>
    <x v="21"/>
    <n v="308"/>
  </r>
  <r>
    <x v="21"/>
    <x v="0"/>
    <x v="22"/>
    <n v="4874"/>
  </r>
  <r>
    <x v="33"/>
    <x v="0"/>
    <x v="0"/>
    <n v="33967"/>
  </r>
  <r>
    <x v="33"/>
    <x v="0"/>
    <x v="17"/>
    <n v="14431"/>
  </r>
  <r>
    <x v="33"/>
    <x v="0"/>
    <x v="15"/>
    <n v="8957"/>
  </r>
  <r>
    <x v="33"/>
    <x v="0"/>
    <x v="19"/>
    <n v="11603"/>
  </r>
  <r>
    <x v="33"/>
    <x v="0"/>
    <x v="14"/>
    <n v="2577"/>
  </r>
  <r>
    <x v="33"/>
    <x v="0"/>
    <x v="13"/>
    <n v="652"/>
  </r>
  <r>
    <x v="33"/>
    <x v="0"/>
    <x v="12"/>
    <n v="323"/>
  </r>
  <r>
    <x v="33"/>
    <x v="0"/>
    <x v="1"/>
    <n v="649"/>
  </r>
  <r>
    <x v="33"/>
    <x v="0"/>
    <x v="23"/>
    <n v="1334"/>
  </r>
  <r>
    <x v="33"/>
    <x v="0"/>
    <x v="24"/>
    <n v="219"/>
  </r>
  <r>
    <x v="33"/>
    <x v="0"/>
    <x v="25"/>
    <n v="624"/>
  </r>
  <r>
    <x v="33"/>
    <x v="0"/>
    <x v="18"/>
    <n v="473"/>
  </r>
  <r>
    <x v="33"/>
    <x v="0"/>
    <x v="22"/>
    <n v="6154"/>
  </r>
  <r>
    <x v="22"/>
    <x v="0"/>
    <x v="12"/>
    <n v="13652"/>
  </r>
  <r>
    <x v="22"/>
    <x v="0"/>
    <x v="13"/>
    <n v="8586"/>
  </r>
  <r>
    <x v="22"/>
    <x v="0"/>
    <x v="14"/>
    <n v="6666"/>
  </r>
  <r>
    <x v="22"/>
    <x v="0"/>
    <x v="15"/>
    <n v="2232"/>
  </r>
  <r>
    <x v="22"/>
    <x v="0"/>
    <x v="16"/>
    <n v="2065"/>
  </r>
  <r>
    <x v="22"/>
    <x v="0"/>
    <x v="0"/>
    <n v="9143"/>
  </r>
  <r>
    <x v="22"/>
    <x v="0"/>
    <x v="17"/>
    <n v="2391"/>
  </r>
  <r>
    <x v="22"/>
    <x v="0"/>
    <x v="18"/>
    <n v="1413"/>
  </r>
  <r>
    <x v="22"/>
    <x v="0"/>
    <x v="19"/>
    <n v="855"/>
  </r>
  <r>
    <x v="22"/>
    <x v="0"/>
    <x v="20"/>
    <n v="1013"/>
  </r>
  <r>
    <x v="22"/>
    <x v="0"/>
    <x v="21"/>
    <n v="1052"/>
  </r>
  <r>
    <x v="22"/>
    <x v="0"/>
    <x v="22"/>
    <n v="5330"/>
  </r>
  <r>
    <x v="34"/>
    <x v="0"/>
    <x v="0"/>
    <n v="22398"/>
  </r>
  <r>
    <x v="34"/>
    <x v="0"/>
    <x v="13"/>
    <n v="4509"/>
  </r>
  <r>
    <x v="34"/>
    <x v="0"/>
    <x v="12"/>
    <n v="6661"/>
  </r>
  <r>
    <x v="34"/>
    <x v="0"/>
    <x v="14"/>
    <n v="9736"/>
  </r>
  <r>
    <x v="34"/>
    <x v="0"/>
    <x v="17"/>
    <n v="16896"/>
  </r>
  <r>
    <x v="34"/>
    <x v="0"/>
    <x v="15"/>
    <n v="12180"/>
  </r>
  <r>
    <x v="34"/>
    <x v="0"/>
    <x v="19"/>
    <n v="4552"/>
  </r>
  <r>
    <x v="34"/>
    <x v="0"/>
    <x v="1"/>
    <n v="1765"/>
  </r>
  <r>
    <x v="34"/>
    <x v="0"/>
    <x v="18"/>
    <n v="1140"/>
  </r>
  <r>
    <x v="34"/>
    <x v="0"/>
    <x v="16"/>
    <n v="584"/>
  </r>
  <r>
    <x v="34"/>
    <x v="0"/>
    <x v="20"/>
    <n v="446"/>
  </r>
  <r>
    <x v="34"/>
    <x v="0"/>
    <x v="21"/>
    <n v="350"/>
  </r>
  <r>
    <x v="34"/>
    <x v="0"/>
    <x v="22"/>
    <n v="5089"/>
  </r>
  <r>
    <x v="35"/>
    <x v="0"/>
    <x v="0"/>
    <n v="44630"/>
  </r>
  <r>
    <x v="35"/>
    <x v="0"/>
    <x v="17"/>
    <n v="26158"/>
  </r>
  <r>
    <x v="35"/>
    <x v="0"/>
    <x v="15"/>
    <n v="17012"/>
  </r>
  <r>
    <x v="35"/>
    <x v="0"/>
    <x v="19"/>
    <n v="17716"/>
  </r>
  <r>
    <x v="35"/>
    <x v="0"/>
    <x v="14"/>
    <n v="3108"/>
  </r>
  <r>
    <x v="35"/>
    <x v="0"/>
    <x v="13"/>
    <n v="673"/>
  </r>
  <r>
    <x v="35"/>
    <x v="0"/>
    <x v="12"/>
    <n v="316"/>
  </r>
  <r>
    <x v="35"/>
    <x v="0"/>
    <x v="1"/>
    <n v="1218"/>
  </r>
  <r>
    <x v="35"/>
    <x v="0"/>
    <x v="23"/>
    <n v="3070"/>
  </r>
  <r>
    <x v="35"/>
    <x v="0"/>
    <x v="24"/>
    <n v="625"/>
  </r>
  <r>
    <x v="35"/>
    <x v="0"/>
    <x v="25"/>
    <n v="3915"/>
  </r>
  <r>
    <x v="35"/>
    <x v="0"/>
    <x v="18"/>
    <n v="585"/>
  </r>
  <r>
    <x v="35"/>
    <x v="0"/>
    <x v="22"/>
    <n v="1057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45">
  <r>
    <x v="0"/>
    <x v="0"/>
    <x v="0"/>
    <n v="0"/>
    <n v="398"/>
  </r>
  <r>
    <x v="0"/>
    <x v="0"/>
    <x v="1"/>
    <n v="0"/>
    <n v="361"/>
  </r>
  <r>
    <x v="1"/>
    <x v="0"/>
    <x v="0"/>
    <n v="0"/>
    <n v="113"/>
  </r>
  <r>
    <x v="1"/>
    <x v="0"/>
    <x v="1"/>
    <n v="0"/>
    <n v="98"/>
  </r>
  <r>
    <x v="2"/>
    <x v="0"/>
    <x v="0"/>
    <n v="0"/>
    <n v="229"/>
  </r>
  <r>
    <x v="2"/>
    <x v="0"/>
    <x v="1"/>
    <n v="0"/>
    <n v="244"/>
  </r>
  <r>
    <x v="3"/>
    <x v="0"/>
    <x v="0"/>
    <n v="0"/>
    <n v="458"/>
  </r>
  <r>
    <x v="3"/>
    <x v="0"/>
    <x v="1"/>
    <n v="0"/>
    <n v="452"/>
  </r>
  <r>
    <x v="4"/>
    <x v="0"/>
    <x v="0"/>
    <n v="0"/>
    <n v="489"/>
  </r>
  <r>
    <x v="4"/>
    <x v="0"/>
    <x v="1"/>
    <n v="0"/>
    <n v="408"/>
  </r>
  <r>
    <x v="5"/>
    <x v="0"/>
    <x v="0"/>
    <n v="0"/>
    <n v="540"/>
  </r>
  <r>
    <x v="5"/>
    <x v="0"/>
    <x v="1"/>
    <n v="0"/>
    <n v="355"/>
  </r>
  <r>
    <x v="6"/>
    <x v="0"/>
    <x v="0"/>
    <n v="0"/>
    <n v="455"/>
  </r>
  <r>
    <x v="6"/>
    <x v="0"/>
    <x v="1"/>
    <n v="0"/>
    <n v="345"/>
  </r>
  <r>
    <x v="7"/>
    <x v="0"/>
    <x v="0"/>
    <n v="0"/>
    <n v="478"/>
  </r>
  <r>
    <x v="7"/>
    <x v="0"/>
    <x v="1"/>
    <n v="0"/>
    <n v="351"/>
  </r>
  <r>
    <x v="8"/>
    <x v="0"/>
    <x v="0"/>
    <n v="0"/>
    <n v="454"/>
  </r>
  <r>
    <x v="8"/>
    <x v="0"/>
    <x v="1"/>
    <n v="0"/>
    <n v="394"/>
  </r>
  <r>
    <x v="9"/>
    <x v="0"/>
    <x v="0"/>
    <n v="0"/>
    <n v="400"/>
  </r>
  <r>
    <x v="9"/>
    <x v="0"/>
    <x v="1"/>
    <n v="0"/>
    <n v="270"/>
  </r>
  <r>
    <x v="10"/>
    <x v="0"/>
    <x v="0"/>
    <n v="0"/>
    <n v="384"/>
  </r>
  <r>
    <x v="10"/>
    <x v="0"/>
    <x v="1"/>
    <n v="0"/>
    <n v="371"/>
  </r>
  <r>
    <x v="11"/>
    <x v="0"/>
    <x v="0"/>
    <n v="0"/>
    <n v="460"/>
  </r>
  <r>
    <x v="11"/>
    <x v="0"/>
    <x v="1"/>
    <n v="0"/>
    <n v="390"/>
  </r>
  <r>
    <x v="12"/>
    <x v="0"/>
    <x v="0"/>
    <n v="0"/>
    <n v="455"/>
  </r>
  <r>
    <x v="12"/>
    <x v="0"/>
    <x v="1"/>
    <n v="0"/>
    <n v="380"/>
  </r>
  <r>
    <x v="13"/>
    <x v="0"/>
    <x v="0"/>
    <n v="0"/>
    <n v="461"/>
  </r>
  <r>
    <x v="13"/>
    <x v="0"/>
    <x v="1"/>
    <n v="0"/>
    <n v="421"/>
  </r>
  <r>
    <x v="14"/>
    <x v="0"/>
    <x v="0"/>
    <n v="0"/>
    <n v="429"/>
  </r>
  <r>
    <x v="14"/>
    <x v="0"/>
    <x v="1"/>
    <n v="0"/>
    <n v="446"/>
  </r>
  <r>
    <x v="15"/>
    <x v="0"/>
    <x v="0"/>
    <n v="0"/>
    <n v="409"/>
  </r>
  <r>
    <x v="15"/>
    <x v="0"/>
    <x v="1"/>
    <n v="0"/>
    <n v="439"/>
  </r>
  <r>
    <x v="16"/>
    <x v="0"/>
    <x v="0"/>
    <n v="0"/>
    <n v="394"/>
  </r>
  <r>
    <x v="16"/>
    <x v="0"/>
    <x v="1"/>
    <n v="0"/>
    <n v="421"/>
  </r>
  <r>
    <x v="17"/>
    <x v="0"/>
    <x v="0"/>
    <n v="0"/>
    <n v="443"/>
  </r>
  <r>
    <x v="17"/>
    <x v="0"/>
    <x v="1"/>
    <n v="0"/>
    <n v="581"/>
  </r>
  <r>
    <x v="18"/>
    <x v="0"/>
    <x v="0"/>
    <n v="0"/>
    <n v="371"/>
  </r>
  <r>
    <x v="18"/>
    <x v="0"/>
    <x v="1"/>
    <n v="0"/>
    <n v="340"/>
  </r>
  <r>
    <x v="19"/>
    <x v="0"/>
    <x v="0"/>
    <n v="0"/>
    <n v="431"/>
  </r>
  <r>
    <x v="19"/>
    <x v="0"/>
    <x v="1"/>
    <n v="0"/>
    <n v="411"/>
  </r>
  <r>
    <x v="20"/>
    <x v="0"/>
    <x v="0"/>
    <n v="0"/>
    <n v="274"/>
  </r>
  <r>
    <x v="20"/>
    <x v="0"/>
    <x v="1"/>
    <n v="0"/>
    <n v="288"/>
  </r>
  <r>
    <x v="21"/>
    <x v="0"/>
    <x v="0"/>
    <n v="0"/>
    <n v="470"/>
  </r>
  <r>
    <x v="21"/>
    <x v="0"/>
    <x v="1"/>
    <n v="0"/>
    <n v="420"/>
  </r>
  <r>
    <x v="22"/>
    <x v="0"/>
    <x v="0"/>
    <n v="0"/>
    <n v="324"/>
  </r>
  <r>
    <x v="22"/>
    <x v="0"/>
    <x v="1"/>
    <n v="0"/>
    <n v="364"/>
  </r>
  <r>
    <x v="23"/>
    <x v="0"/>
    <x v="0"/>
    <n v="0"/>
    <n v="454"/>
  </r>
  <r>
    <x v="23"/>
    <x v="0"/>
    <x v="1"/>
    <n v="0"/>
    <n v="505"/>
  </r>
  <r>
    <x v="24"/>
    <x v="0"/>
    <x v="0"/>
    <n v="0"/>
    <n v="465"/>
  </r>
  <r>
    <x v="24"/>
    <x v="0"/>
    <x v="1"/>
    <n v="0"/>
    <n v="439"/>
  </r>
  <r>
    <x v="25"/>
    <x v="0"/>
    <x v="0"/>
    <n v="0"/>
    <n v="507"/>
  </r>
  <r>
    <x v="25"/>
    <x v="0"/>
    <x v="1"/>
    <n v="0"/>
    <n v="448"/>
  </r>
  <r>
    <x v="26"/>
    <x v="0"/>
    <x v="0"/>
    <n v="0"/>
    <n v="517"/>
  </r>
  <r>
    <x v="26"/>
    <x v="0"/>
    <x v="1"/>
    <n v="0"/>
    <n v="457"/>
  </r>
  <r>
    <x v="27"/>
    <x v="0"/>
    <x v="0"/>
    <n v="0"/>
    <n v="423"/>
  </r>
  <r>
    <x v="27"/>
    <x v="0"/>
    <x v="1"/>
    <n v="0"/>
    <n v="371"/>
  </r>
  <r>
    <x v="28"/>
    <x v="0"/>
    <x v="0"/>
    <n v="0"/>
    <n v="465"/>
  </r>
  <r>
    <x v="28"/>
    <x v="0"/>
    <x v="1"/>
    <n v="0"/>
    <n v="460"/>
  </r>
  <r>
    <x v="29"/>
    <x v="0"/>
    <x v="0"/>
    <n v="0"/>
    <n v="546"/>
  </r>
  <r>
    <x v="29"/>
    <x v="0"/>
    <x v="1"/>
    <n v="0"/>
    <n v="509"/>
  </r>
  <r>
    <x v="30"/>
    <x v="0"/>
    <x v="0"/>
    <n v="0"/>
    <n v="398"/>
  </r>
  <r>
    <x v="30"/>
    <x v="0"/>
    <x v="1"/>
    <n v="0"/>
    <n v="389"/>
  </r>
  <r>
    <x v="31"/>
    <x v="0"/>
    <x v="0"/>
    <n v="0"/>
    <n v="470"/>
  </r>
  <r>
    <x v="31"/>
    <x v="0"/>
    <x v="1"/>
    <n v="0"/>
    <n v="403"/>
  </r>
  <r>
    <x v="32"/>
    <x v="0"/>
    <x v="0"/>
    <n v="0"/>
    <n v="365"/>
  </r>
  <r>
    <x v="32"/>
    <x v="0"/>
    <x v="1"/>
    <n v="0"/>
    <n v="318"/>
  </r>
  <r>
    <x v="33"/>
    <x v="0"/>
    <x v="0"/>
    <n v="0"/>
    <n v="509"/>
  </r>
  <r>
    <x v="33"/>
    <x v="0"/>
    <x v="1"/>
    <n v="0"/>
    <n v="422"/>
  </r>
  <r>
    <x v="34"/>
    <x v="0"/>
    <x v="0"/>
    <n v="0"/>
    <n v="408"/>
  </r>
  <r>
    <x v="34"/>
    <x v="0"/>
    <x v="1"/>
    <n v="0"/>
    <n v="375"/>
  </r>
  <r>
    <x v="35"/>
    <x v="0"/>
    <x v="0"/>
    <n v="0"/>
    <n v="399"/>
  </r>
  <r>
    <x v="35"/>
    <x v="0"/>
    <x v="1"/>
    <n v="0"/>
    <n v="455"/>
  </r>
  <r>
    <x v="0"/>
    <x v="1"/>
    <x v="0"/>
    <n v="0"/>
    <n v="515"/>
  </r>
  <r>
    <x v="0"/>
    <x v="2"/>
    <x v="0"/>
    <n v="0"/>
    <n v="1256"/>
  </r>
  <r>
    <x v="0"/>
    <x v="2"/>
    <x v="1"/>
    <n v="0"/>
    <n v="724"/>
  </r>
  <r>
    <x v="0"/>
    <x v="3"/>
    <x v="1"/>
    <n v="0"/>
    <n v="6576"/>
  </r>
  <r>
    <x v="0"/>
    <x v="4"/>
    <x v="1"/>
    <n v="0"/>
    <n v="1563"/>
  </r>
  <r>
    <x v="0"/>
    <x v="5"/>
    <x v="1"/>
    <n v="0"/>
    <n v="278"/>
  </r>
  <r>
    <x v="0"/>
    <x v="6"/>
    <x v="1"/>
    <n v="0"/>
    <n v="5107"/>
  </r>
  <r>
    <x v="0"/>
    <x v="7"/>
    <x v="0"/>
    <n v="0"/>
    <n v="2"/>
  </r>
  <r>
    <x v="0"/>
    <x v="7"/>
    <x v="1"/>
    <n v="0"/>
    <n v="20"/>
  </r>
  <r>
    <x v="0"/>
    <x v="8"/>
    <x v="1"/>
    <n v="0"/>
    <n v="808"/>
  </r>
  <r>
    <x v="0"/>
    <x v="9"/>
    <x v="0"/>
    <n v="0"/>
    <n v="1189"/>
  </r>
  <r>
    <x v="0"/>
    <x v="10"/>
    <x v="0"/>
    <n v="0"/>
    <n v="1507"/>
  </r>
  <r>
    <x v="0"/>
    <x v="10"/>
    <x v="1"/>
    <n v="0"/>
    <n v="281"/>
  </r>
  <r>
    <x v="0"/>
    <x v="11"/>
    <x v="0"/>
    <n v="0"/>
    <n v="561"/>
  </r>
  <r>
    <x v="0"/>
    <x v="11"/>
    <x v="1"/>
    <n v="0"/>
    <n v="747"/>
  </r>
  <r>
    <x v="0"/>
    <x v="12"/>
    <x v="1"/>
    <n v="0"/>
    <n v="655"/>
  </r>
  <r>
    <x v="0"/>
    <x v="13"/>
    <x v="0"/>
    <n v="0"/>
    <n v="2906"/>
  </r>
  <r>
    <x v="0"/>
    <x v="13"/>
    <x v="1"/>
    <n v="0"/>
    <n v="289"/>
  </r>
  <r>
    <x v="1"/>
    <x v="1"/>
    <x v="0"/>
    <n v="0"/>
    <n v="4"/>
  </r>
  <r>
    <x v="1"/>
    <x v="1"/>
    <x v="1"/>
    <n v="0"/>
    <n v="1"/>
  </r>
  <r>
    <x v="1"/>
    <x v="2"/>
    <x v="0"/>
    <n v="0"/>
    <n v="552"/>
  </r>
  <r>
    <x v="1"/>
    <x v="2"/>
    <x v="1"/>
    <n v="0"/>
    <n v="302"/>
  </r>
  <r>
    <x v="1"/>
    <x v="3"/>
    <x v="0"/>
    <n v="0"/>
    <n v="14723"/>
  </r>
  <r>
    <x v="1"/>
    <x v="3"/>
    <x v="1"/>
    <n v="0"/>
    <n v="3295"/>
  </r>
  <r>
    <x v="1"/>
    <x v="14"/>
    <x v="1"/>
    <n v="0"/>
    <n v="2249"/>
  </r>
  <r>
    <x v="1"/>
    <x v="15"/>
    <x v="0"/>
    <n v="0"/>
    <n v="411"/>
  </r>
  <r>
    <x v="1"/>
    <x v="4"/>
    <x v="1"/>
    <n v="0"/>
    <n v="1387"/>
  </r>
  <r>
    <x v="1"/>
    <x v="5"/>
    <x v="0"/>
    <n v="0"/>
    <n v="452"/>
  </r>
  <r>
    <x v="1"/>
    <x v="5"/>
    <x v="1"/>
    <n v="0"/>
    <n v="202"/>
  </r>
  <r>
    <x v="1"/>
    <x v="16"/>
    <x v="0"/>
    <n v="0"/>
    <n v="22"/>
  </r>
  <r>
    <x v="1"/>
    <x v="16"/>
    <x v="1"/>
    <n v="0"/>
    <n v="21"/>
  </r>
  <r>
    <x v="1"/>
    <x v="6"/>
    <x v="1"/>
    <n v="0"/>
    <n v="2372"/>
  </r>
  <r>
    <x v="1"/>
    <x v="7"/>
    <x v="0"/>
    <n v="0"/>
    <n v="11"/>
  </r>
  <r>
    <x v="1"/>
    <x v="7"/>
    <x v="1"/>
    <n v="0"/>
    <n v="70"/>
  </r>
  <r>
    <x v="1"/>
    <x v="17"/>
    <x v="1"/>
    <n v="0"/>
    <n v="195"/>
  </r>
  <r>
    <x v="1"/>
    <x v="8"/>
    <x v="0"/>
    <n v="0"/>
    <n v="288"/>
  </r>
  <r>
    <x v="1"/>
    <x v="8"/>
    <x v="1"/>
    <n v="0"/>
    <n v="9"/>
  </r>
  <r>
    <x v="1"/>
    <x v="9"/>
    <x v="0"/>
    <n v="0"/>
    <n v="332"/>
  </r>
  <r>
    <x v="1"/>
    <x v="10"/>
    <x v="0"/>
    <n v="0"/>
    <n v="15"/>
  </r>
  <r>
    <x v="1"/>
    <x v="10"/>
    <x v="1"/>
    <n v="0"/>
    <n v="4"/>
  </r>
  <r>
    <x v="1"/>
    <x v="11"/>
    <x v="0"/>
    <n v="0"/>
    <n v="125"/>
  </r>
  <r>
    <x v="1"/>
    <x v="11"/>
    <x v="1"/>
    <n v="0"/>
    <n v="126"/>
  </r>
  <r>
    <x v="1"/>
    <x v="18"/>
    <x v="1"/>
    <n v="0"/>
    <n v="722"/>
  </r>
  <r>
    <x v="1"/>
    <x v="19"/>
    <x v="1"/>
    <n v="0"/>
    <n v="5202"/>
  </r>
  <r>
    <x v="1"/>
    <x v="13"/>
    <x v="0"/>
    <n v="0"/>
    <n v="2063"/>
  </r>
  <r>
    <x v="1"/>
    <x v="13"/>
    <x v="1"/>
    <n v="0"/>
    <n v="192"/>
  </r>
  <r>
    <x v="1"/>
    <x v="20"/>
    <x v="1"/>
    <n v="0"/>
    <n v="1145"/>
  </r>
  <r>
    <x v="2"/>
    <x v="1"/>
    <x v="0"/>
    <n v="0"/>
    <n v="2"/>
  </r>
  <r>
    <x v="2"/>
    <x v="2"/>
    <x v="0"/>
    <n v="0"/>
    <n v="727"/>
  </r>
  <r>
    <x v="2"/>
    <x v="2"/>
    <x v="1"/>
    <n v="0"/>
    <n v="565"/>
  </r>
  <r>
    <x v="2"/>
    <x v="7"/>
    <x v="0"/>
    <n v="0"/>
    <n v="3"/>
  </r>
  <r>
    <x v="2"/>
    <x v="7"/>
    <x v="1"/>
    <n v="0"/>
    <n v="112"/>
  </r>
  <r>
    <x v="2"/>
    <x v="8"/>
    <x v="0"/>
    <n v="0"/>
    <n v="89"/>
  </r>
  <r>
    <x v="2"/>
    <x v="8"/>
    <x v="1"/>
    <n v="0"/>
    <n v="18"/>
  </r>
  <r>
    <x v="2"/>
    <x v="9"/>
    <x v="0"/>
    <n v="0"/>
    <n v="354"/>
  </r>
  <r>
    <x v="2"/>
    <x v="9"/>
    <x v="1"/>
    <n v="0"/>
    <n v="246"/>
  </r>
  <r>
    <x v="2"/>
    <x v="10"/>
    <x v="0"/>
    <n v="0"/>
    <n v="648"/>
  </r>
  <r>
    <x v="2"/>
    <x v="10"/>
    <x v="1"/>
    <n v="0"/>
    <n v="298"/>
  </r>
  <r>
    <x v="2"/>
    <x v="11"/>
    <x v="0"/>
    <n v="0"/>
    <n v="42"/>
  </r>
  <r>
    <x v="2"/>
    <x v="11"/>
    <x v="1"/>
    <n v="0"/>
    <n v="54"/>
  </r>
  <r>
    <x v="2"/>
    <x v="12"/>
    <x v="1"/>
    <n v="0"/>
    <n v="445"/>
  </r>
  <r>
    <x v="2"/>
    <x v="13"/>
    <x v="1"/>
    <n v="0"/>
    <n v="185"/>
  </r>
  <r>
    <x v="3"/>
    <x v="1"/>
    <x v="0"/>
    <n v="0"/>
    <n v="467"/>
  </r>
  <r>
    <x v="3"/>
    <x v="2"/>
    <x v="0"/>
    <n v="0"/>
    <n v="994"/>
  </r>
  <r>
    <x v="3"/>
    <x v="2"/>
    <x v="1"/>
    <n v="0"/>
    <n v="661"/>
  </r>
  <r>
    <x v="3"/>
    <x v="3"/>
    <x v="1"/>
    <n v="0"/>
    <n v="4988"/>
  </r>
  <r>
    <x v="3"/>
    <x v="5"/>
    <x v="1"/>
    <n v="0"/>
    <n v="276"/>
  </r>
  <r>
    <x v="3"/>
    <x v="7"/>
    <x v="0"/>
    <n v="0"/>
    <n v="51"/>
  </r>
  <r>
    <x v="3"/>
    <x v="7"/>
    <x v="1"/>
    <n v="0"/>
    <n v="552"/>
  </r>
  <r>
    <x v="3"/>
    <x v="8"/>
    <x v="0"/>
    <n v="0"/>
    <n v="474"/>
  </r>
  <r>
    <x v="3"/>
    <x v="8"/>
    <x v="1"/>
    <n v="0"/>
    <n v="68"/>
  </r>
  <r>
    <x v="3"/>
    <x v="9"/>
    <x v="0"/>
    <n v="0"/>
    <n v="726"/>
  </r>
  <r>
    <x v="3"/>
    <x v="10"/>
    <x v="0"/>
    <n v="0"/>
    <n v="1096"/>
  </r>
  <r>
    <x v="3"/>
    <x v="10"/>
    <x v="1"/>
    <n v="0"/>
    <n v="219"/>
  </r>
  <r>
    <x v="3"/>
    <x v="11"/>
    <x v="0"/>
    <n v="0"/>
    <n v="583"/>
  </r>
  <r>
    <x v="3"/>
    <x v="11"/>
    <x v="1"/>
    <n v="0"/>
    <n v="1039"/>
  </r>
  <r>
    <x v="3"/>
    <x v="12"/>
    <x v="1"/>
    <n v="0"/>
    <n v="866"/>
  </r>
  <r>
    <x v="3"/>
    <x v="13"/>
    <x v="0"/>
    <n v="0"/>
    <n v="2211"/>
  </r>
  <r>
    <x v="3"/>
    <x v="13"/>
    <x v="1"/>
    <n v="0"/>
    <n v="352"/>
  </r>
  <r>
    <x v="4"/>
    <x v="1"/>
    <x v="0"/>
    <n v="0"/>
    <n v="406"/>
  </r>
  <r>
    <x v="4"/>
    <x v="2"/>
    <x v="0"/>
    <n v="0"/>
    <n v="1126"/>
  </r>
  <r>
    <x v="4"/>
    <x v="2"/>
    <x v="1"/>
    <n v="0"/>
    <n v="758"/>
  </r>
  <r>
    <x v="4"/>
    <x v="5"/>
    <x v="1"/>
    <n v="0"/>
    <n v="321"/>
  </r>
  <r>
    <x v="4"/>
    <x v="21"/>
    <x v="1"/>
    <n v="0"/>
    <n v="3641"/>
  </r>
  <r>
    <x v="4"/>
    <x v="6"/>
    <x v="1"/>
    <n v="0"/>
    <n v="5430"/>
  </r>
  <r>
    <x v="4"/>
    <x v="7"/>
    <x v="0"/>
    <n v="0"/>
    <n v="30"/>
  </r>
  <r>
    <x v="4"/>
    <x v="7"/>
    <x v="1"/>
    <n v="0"/>
    <n v="459"/>
  </r>
  <r>
    <x v="4"/>
    <x v="8"/>
    <x v="0"/>
    <n v="0"/>
    <n v="1016"/>
  </r>
  <r>
    <x v="4"/>
    <x v="8"/>
    <x v="1"/>
    <n v="0"/>
    <n v="561"/>
  </r>
  <r>
    <x v="4"/>
    <x v="9"/>
    <x v="0"/>
    <n v="0"/>
    <n v="1041"/>
  </r>
  <r>
    <x v="4"/>
    <x v="9"/>
    <x v="1"/>
    <n v="0"/>
    <n v="826"/>
  </r>
  <r>
    <x v="4"/>
    <x v="10"/>
    <x v="0"/>
    <n v="0"/>
    <n v="1057"/>
  </r>
  <r>
    <x v="4"/>
    <x v="10"/>
    <x v="1"/>
    <n v="0"/>
    <n v="240"/>
  </r>
  <r>
    <x v="4"/>
    <x v="11"/>
    <x v="0"/>
    <n v="0"/>
    <n v="577"/>
  </r>
  <r>
    <x v="4"/>
    <x v="11"/>
    <x v="1"/>
    <n v="0"/>
    <n v="763"/>
  </r>
  <r>
    <x v="4"/>
    <x v="13"/>
    <x v="0"/>
    <n v="0"/>
    <n v="2462"/>
  </r>
  <r>
    <x v="4"/>
    <x v="13"/>
    <x v="1"/>
    <n v="0"/>
    <n v="462"/>
  </r>
  <r>
    <x v="5"/>
    <x v="1"/>
    <x v="0"/>
    <n v="0"/>
    <n v="329"/>
  </r>
  <r>
    <x v="5"/>
    <x v="1"/>
    <x v="1"/>
    <n v="0"/>
    <n v="87"/>
  </r>
  <r>
    <x v="5"/>
    <x v="2"/>
    <x v="0"/>
    <n v="0"/>
    <n v="1260"/>
  </r>
  <r>
    <x v="5"/>
    <x v="2"/>
    <x v="1"/>
    <n v="0"/>
    <n v="637"/>
  </r>
  <r>
    <x v="5"/>
    <x v="3"/>
    <x v="1"/>
    <n v="0"/>
    <n v="6036"/>
  </r>
  <r>
    <x v="5"/>
    <x v="5"/>
    <x v="1"/>
    <n v="0"/>
    <n v="348"/>
  </r>
  <r>
    <x v="5"/>
    <x v="7"/>
    <x v="0"/>
    <n v="0"/>
    <n v="26"/>
  </r>
  <r>
    <x v="5"/>
    <x v="7"/>
    <x v="1"/>
    <n v="0"/>
    <n v="444"/>
  </r>
  <r>
    <x v="5"/>
    <x v="8"/>
    <x v="0"/>
    <n v="0"/>
    <n v="3492"/>
  </r>
  <r>
    <x v="5"/>
    <x v="8"/>
    <x v="1"/>
    <n v="0"/>
    <n v="1202"/>
  </r>
  <r>
    <x v="5"/>
    <x v="9"/>
    <x v="0"/>
    <n v="0"/>
    <n v="1396"/>
  </r>
  <r>
    <x v="5"/>
    <x v="9"/>
    <x v="1"/>
    <n v="0"/>
    <n v="905"/>
  </r>
  <r>
    <x v="5"/>
    <x v="10"/>
    <x v="0"/>
    <n v="0"/>
    <n v="1465"/>
  </r>
  <r>
    <x v="5"/>
    <x v="10"/>
    <x v="1"/>
    <n v="0"/>
    <n v="264"/>
  </r>
  <r>
    <x v="5"/>
    <x v="11"/>
    <x v="1"/>
    <n v="0"/>
    <n v="681"/>
  </r>
  <r>
    <x v="5"/>
    <x v="13"/>
    <x v="0"/>
    <n v="0"/>
    <n v="2736"/>
  </r>
  <r>
    <x v="5"/>
    <x v="13"/>
    <x v="1"/>
    <n v="0"/>
    <n v="403"/>
  </r>
  <r>
    <x v="6"/>
    <x v="1"/>
    <x v="0"/>
    <n v="0"/>
    <n v="360"/>
  </r>
  <r>
    <x v="6"/>
    <x v="2"/>
    <x v="0"/>
    <n v="0"/>
    <n v="1109"/>
  </r>
  <r>
    <x v="6"/>
    <x v="2"/>
    <x v="1"/>
    <n v="0"/>
    <n v="570"/>
  </r>
  <r>
    <x v="6"/>
    <x v="3"/>
    <x v="1"/>
    <n v="0"/>
    <n v="5877"/>
  </r>
  <r>
    <x v="6"/>
    <x v="7"/>
    <x v="1"/>
    <n v="0"/>
    <n v="289"/>
  </r>
  <r>
    <x v="6"/>
    <x v="8"/>
    <x v="1"/>
    <n v="0"/>
    <n v="916"/>
  </r>
  <r>
    <x v="6"/>
    <x v="9"/>
    <x v="0"/>
    <n v="0"/>
    <n v="1414"/>
  </r>
  <r>
    <x v="6"/>
    <x v="9"/>
    <x v="1"/>
    <n v="0"/>
    <n v="722"/>
  </r>
  <r>
    <x v="6"/>
    <x v="10"/>
    <x v="0"/>
    <n v="0"/>
    <n v="1886"/>
  </r>
  <r>
    <x v="6"/>
    <x v="10"/>
    <x v="1"/>
    <n v="0"/>
    <n v="283"/>
  </r>
  <r>
    <x v="6"/>
    <x v="11"/>
    <x v="0"/>
    <n v="0"/>
    <n v="650"/>
  </r>
  <r>
    <x v="6"/>
    <x v="11"/>
    <x v="1"/>
    <n v="0"/>
    <n v="567"/>
  </r>
  <r>
    <x v="6"/>
    <x v="12"/>
    <x v="1"/>
    <n v="0"/>
    <n v="609"/>
  </r>
  <r>
    <x v="6"/>
    <x v="13"/>
    <x v="0"/>
    <n v="0"/>
    <n v="3015"/>
  </r>
  <r>
    <x v="6"/>
    <x v="13"/>
    <x v="1"/>
    <n v="0"/>
    <n v="366"/>
  </r>
  <r>
    <x v="7"/>
    <x v="1"/>
    <x v="0"/>
    <n v="0"/>
    <n v="413"/>
  </r>
  <r>
    <x v="7"/>
    <x v="1"/>
    <x v="1"/>
    <n v="0"/>
    <n v="125"/>
  </r>
  <r>
    <x v="7"/>
    <x v="2"/>
    <x v="0"/>
    <n v="0"/>
    <n v="1262"/>
  </r>
  <r>
    <x v="7"/>
    <x v="2"/>
    <x v="1"/>
    <n v="0"/>
    <n v="646"/>
  </r>
  <r>
    <x v="7"/>
    <x v="3"/>
    <x v="1"/>
    <n v="0"/>
    <n v="5618"/>
  </r>
  <r>
    <x v="7"/>
    <x v="5"/>
    <x v="1"/>
    <n v="0"/>
    <n v="330"/>
  </r>
  <r>
    <x v="7"/>
    <x v="21"/>
    <x v="1"/>
    <n v="0"/>
    <n v="4496"/>
  </r>
  <r>
    <x v="7"/>
    <x v="6"/>
    <x v="1"/>
    <n v="0"/>
    <n v="4709"/>
  </r>
  <r>
    <x v="7"/>
    <x v="7"/>
    <x v="0"/>
    <n v="0"/>
    <n v="28"/>
  </r>
  <r>
    <x v="7"/>
    <x v="7"/>
    <x v="1"/>
    <n v="0"/>
    <n v="287"/>
  </r>
  <r>
    <x v="7"/>
    <x v="8"/>
    <x v="1"/>
    <n v="0"/>
    <n v="875"/>
  </r>
  <r>
    <x v="7"/>
    <x v="9"/>
    <x v="0"/>
    <n v="0"/>
    <n v="1442"/>
  </r>
  <r>
    <x v="7"/>
    <x v="9"/>
    <x v="1"/>
    <n v="0"/>
    <n v="806"/>
  </r>
  <r>
    <x v="7"/>
    <x v="10"/>
    <x v="0"/>
    <n v="0"/>
    <n v="1820"/>
  </r>
  <r>
    <x v="7"/>
    <x v="10"/>
    <x v="1"/>
    <n v="0"/>
    <n v="328"/>
  </r>
  <r>
    <x v="7"/>
    <x v="11"/>
    <x v="0"/>
    <n v="0"/>
    <n v="592"/>
  </r>
  <r>
    <x v="7"/>
    <x v="11"/>
    <x v="1"/>
    <n v="0"/>
    <n v="692"/>
  </r>
  <r>
    <x v="7"/>
    <x v="13"/>
    <x v="0"/>
    <n v="0"/>
    <n v="3843"/>
  </r>
  <r>
    <x v="7"/>
    <x v="13"/>
    <x v="1"/>
    <n v="0"/>
    <n v="326"/>
  </r>
  <r>
    <x v="8"/>
    <x v="1"/>
    <x v="0"/>
    <n v="0"/>
    <n v="376"/>
  </r>
  <r>
    <x v="8"/>
    <x v="2"/>
    <x v="0"/>
    <n v="0"/>
    <n v="1036"/>
  </r>
  <r>
    <x v="8"/>
    <x v="2"/>
    <x v="1"/>
    <n v="0"/>
    <n v="709"/>
  </r>
  <r>
    <x v="8"/>
    <x v="6"/>
    <x v="1"/>
    <n v="0"/>
    <n v="5306"/>
  </r>
  <r>
    <x v="8"/>
    <x v="7"/>
    <x v="0"/>
    <n v="0"/>
    <n v="15"/>
  </r>
  <r>
    <x v="8"/>
    <x v="7"/>
    <x v="1"/>
    <n v="0"/>
    <n v="167"/>
  </r>
  <r>
    <x v="8"/>
    <x v="8"/>
    <x v="1"/>
    <n v="0"/>
    <n v="849"/>
  </r>
  <r>
    <x v="8"/>
    <x v="9"/>
    <x v="0"/>
    <n v="0"/>
    <n v="1101"/>
  </r>
  <r>
    <x v="8"/>
    <x v="9"/>
    <x v="1"/>
    <n v="0"/>
    <n v="888"/>
  </r>
  <r>
    <x v="8"/>
    <x v="10"/>
    <x v="0"/>
    <n v="0"/>
    <n v="1740"/>
  </r>
  <r>
    <x v="8"/>
    <x v="10"/>
    <x v="1"/>
    <n v="0"/>
    <n v="376"/>
  </r>
  <r>
    <x v="8"/>
    <x v="11"/>
    <x v="0"/>
    <n v="0"/>
    <n v="353"/>
  </r>
  <r>
    <x v="8"/>
    <x v="11"/>
    <x v="1"/>
    <n v="0"/>
    <n v="540"/>
  </r>
  <r>
    <x v="8"/>
    <x v="13"/>
    <x v="1"/>
    <n v="0"/>
    <n v="352"/>
  </r>
  <r>
    <x v="9"/>
    <x v="1"/>
    <x v="0"/>
    <n v="0"/>
    <n v="336"/>
  </r>
  <r>
    <x v="9"/>
    <x v="1"/>
    <x v="1"/>
    <n v="0"/>
    <n v="90"/>
  </r>
  <r>
    <x v="9"/>
    <x v="2"/>
    <x v="0"/>
    <n v="0"/>
    <n v="950"/>
  </r>
  <r>
    <x v="9"/>
    <x v="2"/>
    <x v="1"/>
    <n v="0"/>
    <n v="766"/>
  </r>
  <r>
    <x v="9"/>
    <x v="3"/>
    <x v="1"/>
    <n v="0"/>
    <n v="5550"/>
  </r>
  <r>
    <x v="9"/>
    <x v="5"/>
    <x v="1"/>
    <n v="0"/>
    <n v="358"/>
  </r>
  <r>
    <x v="9"/>
    <x v="6"/>
    <x v="1"/>
    <n v="0"/>
    <n v="3963"/>
  </r>
  <r>
    <x v="9"/>
    <x v="7"/>
    <x v="1"/>
    <n v="0"/>
    <n v="150"/>
  </r>
  <r>
    <x v="9"/>
    <x v="8"/>
    <x v="1"/>
    <n v="0"/>
    <n v="687"/>
  </r>
  <r>
    <x v="9"/>
    <x v="9"/>
    <x v="0"/>
    <n v="0"/>
    <n v="1112"/>
  </r>
  <r>
    <x v="9"/>
    <x v="9"/>
    <x v="1"/>
    <n v="0"/>
    <n v="1063"/>
  </r>
  <r>
    <x v="9"/>
    <x v="10"/>
    <x v="0"/>
    <n v="0"/>
    <n v="1387"/>
  </r>
  <r>
    <x v="9"/>
    <x v="10"/>
    <x v="1"/>
    <n v="0"/>
    <n v="311"/>
  </r>
  <r>
    <x v="9"/>
    <x v="11"/>
    <x v="0"/>
    <n v="0"/>
    <n v="410"/>
  </r>
  <r>
    <x v="9"/>
    <x v="11"/>
    <x v="1"/>
    <n v="0"/>
    <n v="722"/>
  </r>
  <r>
    <x v="9"/>
    <x v="12"/>
    <x v="1"/>
    <n v="0"/>
    <n v="758"/>
  </r>
  <r>
    <x v="9"/>
    <x v="13"/>
    <x v="1"/>
    <n v="0"/>
    <n v="394"/>
  </r>
  <r>
    <x v="10"/>
    <x v="1"/>
    <x v="0"/>
    <n v="0"/>
    <n v="388"/>
  </r>
  <r>
    <x v="10"/>
    <x v="1"/>
    <x v="1"/>
    <n v="0"/>
    <n v="112"/>
  </r>
  <r>
    <x v="10"/>
    <x v="2"/>
    <x v="0"/>
    <n v="0"/>
    <n v="858"/>
  </r>
  <r>
    <x v="10"/>
    <x v="2"/>
    <x v="1"/>
    <n v="0"/>
    <n v="671"/>
  </r>
  <r>
    <x v="10"/>
    <x v="7"/>
    <x v="0"/>
    <n v="0"/>
    <n v="15"/>
  </r>
  <r>
    <x v="10"/>
    <x v="7"/>
    <x v="1"/>
    <n v="0"/>
    <n v="44"/>
  </r>
  <r>
    <x v="10"/>
    <x v="8"/>
    <x v="1"/>
    <n v="0"/>
    <n v="834"/>
  </r>
  <r>
    <x v="10"/>
    <x v="9"/>
    <x v="0"/>
    <n v="0"/>
    <n v="1145"/>
  </r>
  <r>
    <x v="10"/>
    <x v="10"/>
    <x v="0"/>
    <n v="0"/>
    <n v="1599"/>
  </r>
  <r>
    <x v="10"/>
    <x v="10"/>
    <x v="1"/>
    <n v="0"/>
    <n v="354"/>
  </r>
  <r>
    <x v="10"/>
    <x v="11"/>
    <x v="0"/>
    <n v="0"/>
    <n v="504"/>
  </r>
  <r>
    <x v="10"/>
    <x v="11"/>
    <x v="1"/>
    <n v="0"/>
    <n v="773"/>
  </r>
  <r>
    <x v="10"/>
    <x v="12"/>
    <x v="1"/>
    <n v="0"/>
    <n v="622"/>
  </r>
  <r>
    <x v="10"/>
    <x v="13"/>
    <x v="1"/>
    <n v="0"/>
    <n v="340"/>
  </r>
  <r>
    <x v="11"/>
    <x v="1"/>
    <x v="0"/>
    <n v="0"/>
    <n v="383"/>
  </r>
  <r>
    <x v="11"/>
    <x v="2"/>
    <x v="0"/>
    <n v="0"/>
    <n v="1111"/>
  </r>
  <r>
    <x v="11"/>
    <x v="2"/>
    <x v="1"/>
    <n v="0"/>
    <n v="679"/>
  </r>
  <r>
    <x v="11"/>
    <x v="7"/>
    <x v="0"/>
    <n v="0"/>
    <n v="49"/>
  </r>
  <r>
    <x v="11"/>
    <x v="7"/>
    <x v="1"/>
    <n v="0"/>
    <n v="49"/>
  </r>
  <r>
    <x v="11"/>
    <x v="8"/>
    <x v="1"/>
    <n v="0"/>
    <n v="717"/>
  </r>
  <r>
    <x v="11"/>
    <x v="9"/>
    <x v="0"/>
    <n v="0"/>
    <n v="1687"/>
  </r>
  <r>
    <x v="11"/>
    <x v="9"/>
    <x v="1"/>
    <n v="0"/>
    <n v="1104"/>
  </r>
  <r>
    <x v="11"/>
    <x v="10"/>
    <x v="0"/>
    <n v="0"/>
    <n v="1848"/>
  </r>
  <r>
    <x v="11"/>
    <x v="10"/>
    <x v="1"/>
    <n v="0"/>
    <n v="413"/>
  </r>
  <r>
    <x v="11"/>
    <x v="11"/>
    <x v="0"/>
    <n v="0"/>
    <n v="541"/>
  </r>
  <r>
    <x v="11"/>
    <x v="11"/>
    <x v="1"/>
    <n v="0"/>
    <n v="632"/>
  </r>
  <r>
    <x v="11"/>
    <x v="13"/>
    <x v="1"/>
    <n v="0"/>
    <n v="484"/>
  </r>
  <r>
    <x v="12"/>
    <x v="1"/>
    <x v="0"/>
    <n v="0"/>
    <n v="407"/>
  </r>
  <r>
    <x v="12"/>
    <x v="2"/>
    <x v="0"/>
    <n v="0"/>
    <n v="1063"/>
  </r>
  <r>
    <x v="12"/>
    <x v="2"/>
    <x v="1"/>
    <n v="0"/>
    <n v="824"/>
  </r>
  <r>
    <x v="12"/>
    <x v="7"/>
    <x v="0"/>
    <n v="0"/>
    <n v="351"/>
  </r>
  <r>
    <x v="12"/>
    <x v="7"/>
    <x v="1"/>
    <n v="0"/>
    <n v="105"/>
  </r>
  <r>
    <x v="12"/>
    <x v="10"/>
    <x v="0"/>
    <n v="0"/>
    <n v="1530"/>
  </r>
  <r>
    <x v="12"/>
    <x v="10"/>
    <x v="1"/>
    <n v="0"/>
    <n v="323"/>
  </r>
  <r>
    <x v="12"/>
    <x v="11"/>
    <x v="1"/>
    <n v="0"/>
    <n v="723"/>
  </r>
  <r>
    <x v="12"/>
    <x v="13"/>
    <x v="1"/>
    <n v="0"/>
    <n v="448"/>
  </r>
  <r>
    <x v="13"/>
    <x v="1"/>
    <x v="0"/>
    <n v="0"/>
    <n v="358"/>
  </r>
  <r>
    <x v="13"/>
    <x v="1"/>
    <x v="1"/>
    <n v="0"/>
    <n v="110"/>
  </r>
  <r>
    <x v="13"/>
    <x v="2"/>
    <x v="0"/>
    <n v="0"/>
    <n v="1241"/>
  </r>
  <r>
    <x v="13"/>
    <x v="2"/>
    <x v="1"/>
    <n v="0"/>
    <n v="965"/>
  </r>
  <r>
    <x v="13"/>
    <x v="7"/>
    <x v="0"/>
    <n v="0"/>
    <n v="419"/>
  </r>
  <r>
    <x v="13"/>
    <x v="7"/>
    <x v="1"/>
    <n v="0"/>
    <n v="322"/>
  </r>
  <r>
    <x v="13"/>
    <x v="8"/>
    <x v="1"/>
    <n v="0"/>
    <n v="644"/>
  </r>
  <r>
    <x v="13"/>
    <x v="9"/>
    <x v="0"/>
    <n v="0"/>
    <n v="1780"/>
  </r>
  <r>
    <x v="13"/>
    <x v="10"/>
    <x v="1"/>
    <n v="0"/>
    <n v="397"/>
  </r>
  <r>
    <x v="13"/>
    <x v="11"/>
    <x v="1"/>
    <n v="0"/>
    <n v="630"/>
  </r>
  <r>
    <x v="13"/>
    <x v="13"/>
    <x v="1"/>
    <n v="0"/>
    <n v="359"/>
  </r>
  <r>
    <x v="14"/>
    <x v="1"/>
    <x v="0"/>
    <n v="0"/>
    <n v="423"/>
  </r>
  <r>
    <x v="14"/>
    <x v="1"/>
    <x v="1"/>
    <n v="0"/>
    <n v="115"/>
  </r>
  <r>
    <x v="14"/>
    <x v="2"/>
    <x v="0"/>
    <n v="0"/>
    <n v="1253"/>
  </r>
  <r>
    <x v="14"/>
    <x v="2"/>
    <x v="1"/>
    <n v="0"/>
    <n v="1021"/>
  </r>
  <r>
    <x v="14"/>
    <x v="7"/>
    <x v="1"/>
    <n v="0"/>
    <n v="310"/>
  </r>
  <r>
    <x v="14"/>
    <x v="8"/>
    <x v="1"/>
    <n v="0"/>
    <n v="1029"/>
  </r>
  <r>
    <x v="14"/>
    <x v="10"/>
    <x v="1"/>
    <n v="0"/>
    <n v="373"/>
  </r>
  <r>
    <x v="14"/>
    <x v="11"/>
    <x v="0"/>
    <n v="0"/>
    <n v="594"/>
  </r>
  <r>
    <x v="14"/>
    <x v="11"/>
    <x v="1"/>
    <n v="0"/>
    <n v="735"/>
  </r>
  <r>
    <x v="14"/>
    <x v="13"/>
    <x v="1"/>
    <n v="0"/>
    <n v="354"/>
  </r>
  <r>
    <x v="15"/>
    <x v="1"/>
    <x v="0"/>
    <n v="0"/>
    <n v="385"/>
  </r>
  <r>
    <x v="15"/>
    <x v="1"/>
    <x v="1"/>
    <n v="0"/>
    <n v="127"/>
  </r>
  <r>
    <x v="15"/>
    <x v="2"/>
    <x v="0"/>
    <n v="0"/>
    <n v="1181"/>
  </r>
  <r>
    <x v="15"/>
    <x v="5"/>
    <x v="1"/>
    <n v="0"/>
    <n v="344"/>
  </r>
  <r>
    <x v="15"/>
    <x v="7"/>
    <x v="0"/>
    <n v="0"/>
    <n v="314"/>
  </r>
  <r>
    <x v="15"/>
    <x v="8"/>
    <x v="1"/>
    <n v="0"/>
    <n v="775"/>
  </r>
  <r>
    <x v="15"/>
    <x v="10"/>
    <x v="1"/>
    <n v="0"/>
    <n v="319"/>
  </r>
  <r>
    <x v="15"/>
    <x v="11"/>
    <x v="0"/>
    <n v="0"/>
    <n v="505"/>
  </r>
  <r>
    <x v="15"/>
    <x v="11"/>
    <x v="1"/>
    <n v="0"/>
    <n v="591"/>
  </r>
  <r>
    <x v="15"/>
    <x v="13"/>
    <x v="1"/>
    <n v="0"/>
    <n v="402"/>
  </r>
  <r>
    <x v="16"/>
    <x v="1"/>
    <x v="0"/>
    <n v="0"/>
    <n v="398"/>
  </r>
  <r>
    <x v="16"/>
    <x v="1"/>
    <x v="1"/>
    <n v="0"/>
    <n v="154"/>
  </r>
  <r>
    <x v="16"/>
    <x v="2"/>
    <x v="0"/>
    <n v="0"/>
    <n v="1244"/>
  </r>
  <r>
    <x v="16"/>
    <x v="2"/>
    <x v="1"/>
    <n v="0"/>
    <n v="866"/>
  </r>
  <r>
    <x v="16"/>
    <x v="7"/>
    <x v="0"/>
    <n v="0"/>
    <n v="222"/>
  </r>
  <r>
    <x v="16"/>
    <x v="8"/>
    <x v="1"/>
    <n v="0"/>
    <n v="623"/>
  </r>
  <r>
    <x v="16"/>
    <x v="9"/>
    <x v="1"/>
    <n v="0"/>
    <n v="1120"/>
  </r>
  <r>
    <x v="16"/>
    <x v="10"/>
    <x v="1"/>
    <n v="0"/>
    <n v="408"/>
  </r>
  <r>
    <x v="16"/>
    <x v="11"/>
    <x v="0"/>
    <n v="0"/>
    <n v="554"/>
  </r>
  <r>
    <x v="16"/>
    <x v="11"/>
    <x v="1"/>
    <n v="0"/>
    <n v="844"/>
  </r>
  <r>
    <x v="16"/>
    <x v="13"/>
    <x v="1"/>
    <n v="0"/>
    <n v="403"/>
  </r>
  <r>
    <x v="17"/>
    <x v="1"/>
    <x v="0"/>
    <n v="0"/>
    <n v="484"/>
  </r>
  <r>
    <x v="17"/>
    <x v="1"/>
    <x v="1"/>
    <n v="0"/>
    <n v="128"/>
  </r>
  <r>
    <x v="17"/>
    <x v="2"/>
    <x v="0"/>
    <n v="0"/>
    <n v="1068"/>
  </r>
  <r>
    <x v="17"/>
    <x v="2"/>
    <x v="1"/>
    <n v="0"/>
    <n v="931"/>
  </r>
  <r>
    <x v="17"/>
    <x v="7"/>
    <x v="0"/>
    <n v="0"/>
    <n v="30"/>
  </r>
  <r>
    <x v="17"/>
    <x v="7"/>
    <x v="1"/>
    <n v="0"/>
    <n v="189"/>
  </r>
  <r>
    <x v="17"/>
    <x v="8"/>
    <x v="1"/>
    <n v="0"/>
    <n v="820"/>
  </r>
  <r>
    <x v="17"/>
    <x v="10"/>
    <x v="1"/>
    <n v="0"/>
    <n v="379"/>
  </r>
  <r>
    <x v="17"/>
    <x v="11"/>
    <x v="0"/>
    <n v="0"/>
    <n v="589"/>
  </r>
  <r>
    <x v="17"/>
    <x v="11"/>
    <x v="1"/>
    <n v="0"/>
    <n v="780"/>
  </r>
  <r>
    <x v="17"/>
    <x v="13"/>
    <x v="1"/>
    <n v="0"/>
    <n v="465"/>
  </r>
  <r>
    <x v="18"/>
    <x v="1"/>
    <x v="0"/>
    <n v="0"/>
    <n v="409"/>
  </r>
  <r>
    <x v="18"/>
    <x v="1"/>
    <x v="1"/>
    <n v="0"/>
    <n v="144"/>
  </r>
  <r>
    <x v="18"/>
    <x v="2"/>
    <x v="0"/>
    <n v="0"/>
    <n v="850"/>
  </r>
  <r>
    <x v="18"/>
    <x v="2"/>
    <x v="1"/>
    <n v="0"/>
    <n v="741"/>
  </r>
  <r>
    <x v="18"/>
    <x v="7"/>
    <x v="0"/>
    <n v="0"/>
    <n v="27"/>
  </r>
  <r>
    <x v="18"/>
    <x v="7"/>
    <x v="1"/>
    <n v="0"/>
    <n v="264"/>
  </r>
  <r>
    <x v="18"/>
    <x v="8"/>
    <x v="1"/>
    <n v="0"/>
    <n v="596"/>
  </r>
  <r>
    <x v="18"/>
    <x v="10"/>
    <x v="1"/>
    <n v="0"/>
    <n v="362"/>
  </r>
  <r>
    <x v="18"/>
    <x v="11"/>
    <x v="0"/>
    <n v="0"/>
    <n v="374"/>
  </r>
  <r>
    <x v="18"/>
    <x v="11"/>
    <x v="1"/>
    <n v="0"/>
    <n v="690"/>
  </r>
  <r>
    <x v="18"/>
    <x v="13"/>
    <x v="1"/>
    <n v="0"/>
    <n v="416"/>
  </r>
  <r>
    <x v="19"/>
    <x v="2"/>
    <x v="0"/>
    <n v="0"/>
    <n v="1251"/>
  </r>
  <r>
    <x v="19"/>
    <x v="2"/>
    <x v="1"/>
    <n v="0"/>
    <n v="971"/>
  </r>
  <r>
    <x v="19"/>
    <x v="6"/>
    <x v="1"/>
    <n v="0"/>
    <n v="4102"/>
  </r>
  <r>
    <x v="19"/>
    <x v="7"/>
    <x v="0"/>
    <n v="0"/>
    <n v="23"/>
  </r>
  <r>
    <x v="19"/>
    <x v="7"/>
    <x v="1"/>
    <n v="0"/>
    <n v="244"/>
  </r>
  <r>
    <x v="19"/>
    <x v="8"/>
    <x v="1"/>
    <n v="0"/>
    <n v="1569"/>
  </r>
  <r>
    <x v="19"/>
    <x v="9"/>
    <x v="1"/>
    <n v="0"/>
    <n v="1158"/>
  </r>
  <r>
    <x v="19"/>
    <x v="10"/>
    <x v="1"/>
    <n v="0"/>
    <n v="378"/>
  </r>
  <r>
    <x v="19"/>
    <x v="11"/>
    <x v="0"/>
    <n v="0"/>
    <n v="447"/>
  </r>
  <r>
    <x v="19"/>
    <x v="11"/>
    <x v="1"/>
    <n v="0"/>
    <n v="724"/>
  </r>
  <r>
    <x v="19"/>
    <x v="19"/>
    <x v="1"/>
    <n v="0"/>
    <n v="8875"/>
  </r>
  <r>
    <x v="19"/>
    <x v="13"/>
    <x v="1"/>
    <n v="0"/>
    <n v="410"/>
  </r>
  <r>
    <x v="20"/>
    <x v="2"/>
    <x v="1"/>
    <n v="0"/>
    <n v="865"/>
  </r>
  <r>
    <x v="20"/>
    <x v="7"/>
    <x v="0"/>
    <n v="0"/>
    <n v="16"/>
  </r>
  <r>
    <x v="20"/>
    <x v="7"/>
    <x v="1"/>
    <n v="0"/>
    <n v="144"/>
  </r>
  <r>
    <x v="20"/>
    <x v="8"/>
    <x v="1"/>
    <n v="0"/>
    <n v="1478"/>
  </r>
  <r>
    <x v="20"/>
    <x v="9"/>
    <x v="1"/>
    <n v="0"/>
    <n v="1150"/>
  </r>
  <r>
    <x v="20"/>
    <x v="10"/>
    <x v="1"/>
    <n v="0"/>
    <n v="445"/>
  </r>
  <r>
    <x v="20"/>
    <x v="11"/>
    <x v="0"/>
    <n v="0"/>
    <n v="369"/>
  </r>
  <r>
    <x v="20"/>
    <x v="11"/>
    <x v="1"/>
    <n v="0"/>
    <n v="490"/>
  </r>
  <r>
    <x v="20"/>
    <x v="13"/>
    <x v="1"/>
    <n v="0"/>
    <n v="385"/>
  </r>
  <r>
    <x v="21"/>
    <x v="1"/>
    <x v="0"/>
    <n v="0"/>
    <n v="373"/>
  </r>
  <r>
    <x v="21"/>
    <x v="1"/>
    <x v="1"/>
    <n v="0"/>
    <n v="153"/>
  </r>
  <r>
    <x v="21"/>
    <x v="2"/>
    <x v="0"/>
    <n v="0"/>
    <n v="718"/>
  </r>
  <r>
    <x v="21"/>
    <x v="2"/>
    <x v="1"/>
    <n v="0"/>
    <n v="966"/>
  </r>
  <r>
    <x v="21"/>
    <x v="7"/>
    <x v="1"/>
    <n v="0"/>
    <n v="92"/>
  </r>
  <r>
    <x v="21"/>
    <x v="10"/>
    <x v="1"/>
    <n v="0"/>
    <n v="476"/>
  </r>
  <r>
    <x v="21"/>
    <x v="11"/>
    <x v="0"/>
    <n v="0"/>
    <n v="432"/>
  </r>
  <r>
    <x v="21"/>
    <x v="11"/>
    <x v="1"/>
    <n v="0"/>
    <n v="545"/>
  </r>
  <r>
    <x v="21"/>
    <x v="19"/>
    <x v="1"/>
    <n v="0"/>
    <n v="11608"/>
  </r>
  <r>
    <x v="21"/>
    <x v="13"/>
    <x v="1"/>
    <n v="0"/>
    <n v="399"/>
  </r>
  <r>
    <x v="22"/>
    <x v="1"/>
    <x v="0"/>
    <n v="0"/>
    <n v="346"/>
  </r>
  <r>
    <x v="22"/>
    <x v="1"/>
    <x v="1"/>
    <n v="0"/>
    <n v="148"/>
  </r>
  <r>
    <x v="22"/>
    <x v="2"/>
    <x v="0"/>
    <n v="0"/>
    <n v="816"/>
  </r>
  <r>
    <x v="22"/>
    <x v="2"/>
    <x v="1"/>
    <n v="0"/>
    <n v="840"/>
  </r>
  <r>
    <x v="22"/>
    <x v="7"/>
    <x v="0"/>
    <n v="0"/>
    <n v="5"/>
  </r>
  <r>
    <x v="22"/>
    <x v="7"/>
    <x v="1"/>
    <n v="0"/>
    <n v="49"/>
  </r>
  <r>
    <x v="22"/>
    <x v="9"/>
    <x v="1"/>
    <n v="0"/>
    <n v="1002"/>
  </r>
  <r>
    <x v="22"/>
    <x v="10"/>
    <x v="1"/>
    <n v="0"/>
    <n v="337"/>
  </r>
  <r>
    <x v="22"/>
    <x v="11"/>
    <x v="0"/>
    <n v="0"/>
    <n v="375"/>
  </r>
  <r>
    <x v="22"/>
    <x v="11"/>
    <x v="1"/>
    <n v="0"/>
    <n v="806"/>
  </r>
  <r>
    <x v="22"/>
    <x v="13"/>
    <x v="1"/>
    <n v="0"/>
    <n v="328"/>
  </r>
  <r>
    <x v="23"/>
    <x v="2"/>
    <x v="0"/>
    <n v="0"/>
    <n v="1131"/>
  </r>
  <r>
    <x v="23"/>
    <x v="2"/>
    <x v="1"/>
    <n v="0"/>
    <n v="1048"/>
  </r>
  <r>
    <x v="23"/>
    <x v="7"/>
    <x v="0"/>
    <n v="0"/>
    <n v="30"/>
  </r>
  <r>
    <x v="23"/>
    <x v="7"/>
    <x v="1"/>
    <n v="0"/>
    <n v="59"/>
  </r>
  <r>
    <x v="23"/>
    <x v="8"/>
    <x v="1"/>
    <n v="0"/>
    <n v="320"/>
  </r>
  <r>
    <x v="23"/>
    <x v="9"/>
    <x v="1"/>
    <n v="0"/>
    <n v="1369"/>
  </r>
  <r>
    <x v="23"/>
    <x v="10"/>
    <x v="1"/>
    <n v="0"/>
    <n v="433"/>
  </r>
  <r>
    <x v="23"/>
    <x v="11"/>
    <x v="0"/>
    <n v="0"/>
    <n v="693"/>
  </r>
  <r>
    <x v="23"/>
    <x v="11"/>
    <x v="1"/>
    <n v="0"/>
    <n v="820"/>
  </r>
  <r>
    <x v="24"/>
    <x v="1"/>
    <x v="0"/>
    <n v="0"/>
    <n v="325"/>
  </r>
  <r>
    <x v="24"/>
    <x v="2"/>
    <x v="0"/>
    <n v="0"/>
    <n v="971"/>
  </r>
  <r>
    <x v="24"/>
    <x v="7"/>
    <x v="0"/>
    <n v="0"/>
    <n v="43"/>
  </r>
  <r>
    <x v="24"/>
    <x v="7"/>
    <x v="1"/>
    <n v="0"/>
    <n v="219"/>
  </r>
  <r>
    <x v="24"/>
    <x v="8"/>
    <x v="1"/>
    <n v="0"/>
    <n v="942"/>
  </r>
  <r>
    <x v="24"/>
    <x v="10"/>
    <x v="1"/>
    <n v="0"/>
    <n v="336"/>
  </r>
  <r>
    <x v="24"/>
    <x v="11"/>
    <x v="0"/>
    <n v="0"/>
    <n v="560"/>
  </r>
  <r>
    <x v="25"/>
    <x v="1"/>
    <x v="0"/>
    <n v="0"/>
    <n v="436"/>
  </r>
  <r>
    <x v="25"/>
    <x v="1"/>
    <x v="1"/>
    <n v="0"/>
    <n v="150"/>
  </r>
  <r>
    <x v="25"/>
    <x v="2"/>
    <x v="1"/>
    <n v="0"/>
    <n v="1132"/>
  </r>
  <r>
    <x v="25"/>
    <x v="7"/>
    <x v="1"/>
    <n v="0"/>
    <n v="364"/>
  </r>
  <r>
    <x v="25"/>
    <x v="10"/>
    <x v="1"/>
    <n v="0"/>
    <n v="382"/>
  </r>
  <r>
    <x v="25"/>
    <x v="11"/>
    <x v="0"/>
    <n v="0"/>
    <n v="610"/>
  </r>
  <r>
    <x v="25"/>
    <x v="11"/>
    <x v="1"/>
    <n v="0"/>
    <n v="796"/>
  </r>
  <r>
    <x v="26"/>
    <x v="1"/>
    <x v="0"/>
    <n v="0"/>
    <n v="373"/>
  </r>
  <r>
    <x v="26"/>
    <x v="2"/>
    <x v="0"/>
    <n v="0"/>
    <n v="1141"/>
  </r>
  <r>
    <x v="26"/>
    <x v="2"/>
    <x v="1"/>
    <n v="0"/>
    <n v="1089"/>
  </r>
  <r>
    <x v="26"/>
    <x v="7"/>
    <x v="1"/>
    <n v="0"/>
    <n v="304"/>
  </r>
  <r>
    <x v="26"/>
    <x v="8"/>
    <x v="1"/>
    <n v="0"/>
    <n v="220"/>
  </r>
  <r>
    <x v="26"/>
    <x v="10"/>
    <x v="1"/>
    <n v="0"/>
    <n v="383"/>
  </r>
  <r>
    <x v="26"/>
    <x v="11"/>
    <x v="0"/>
    <n v="0"/>
    <n v="650"/>
  </r>
  <r>
    <x v="26"/>
    <x v="11"/>
    <x v="1"/>
    <n v="0"/>
    <n v="620"/>
  </r>
  <r>
    <x v="27"/>
    <x v="1"/>
    <x v="0"/>
    <n v="0"/>
    <n v="424"/>
  </r>
  <r>
    <x v="27"/>
    <x v="2"/>
    <x v="0"/>
    <n v="0"/>
    <n v="1315"/>
  </r>
  <r>
    <x v="27"/>
    <x v="7"/>
    <x v="1"/>
    <n v="0"/>
    <n v="301"/>
  </r>
  <r>
    <x v="27"/>
    <x v="10"/>
    <x v="1"/>
    <n v="0"/>
    <n v="439"/>
  </r>
  <r>
    <x v="28"/>
    <x v="1"/>
    <x v="0"/>
    <n v="0"/>
    <n v="477"/>
  </r>
  <r>
    <x v="28"/>
    <x v="2"/>
    <x v="0"/>
    <n v="0"/>
    <n v="1292"/>
  </r>
  <r>
    <x v="28"/>
    <x v="7"/>
    <x v="0"/>
    <n v="0"/>
    <n v="63"/>
  </r>
  <r>
    <x v="28"/>
    <x v="7"/>
    <x v="1"/>
    <n v="0"/>
    <n v="278"/>
  </r>
  <r>
    <x v="28"/>
    <x v="10"/>
    <x v="1"/>
    <n v="0"/>
    <n v="410"/>
  </r>
  <r>
    <x v="28"/>
    <x v="11"/>
    <x v="0"/>
    <n v="0"/>
    <n v="592"/>
  </r>
  <r>
    <x v="28"/>
    <x v="11"/>
    <x v="1"/>
    <n v="0"/>
    <n v="760"/>
  </r>
  <r>
    <x v="29"/>
    <x v="1"/>
    <x v="0"/>
    <n v="0"/>
    <n v="379"/>
  </r>
  <r>
    <x v="29"/>
    <x v="2"/>
    <x v="0"/>
    <n v="0"/>
    <n v="1274"/>
  </r>
  <r>
    <x v="29"/>
    <x v="7"/>
    <x v="0"/>
    <n v="0"/>
    <n v="40"/>
  </r>
  <r>
    <x v="29"/>
    <x v="7"/>
    <x v="1"/>
    <n v="0"/>
    <n v="211"/>
  </r>
  <r>
    <x v="29"/>
    <x v="8"/>
    <x v="0"/>
    <n v="0"/>
    <n v="426"/>
  </r>
  <r>
    <x v="29"/>
    <x v="8"/>
    <x v="1"/>
    <n v="0"/>
    <n v="239"/>
  </r>
  <r>
    <x v="29"/>
    <x v="10"/>
    <x v="1"/>
    <n v="0"/>
    <n v="415"/>
  </r>
  <r>
    <x v="29"/>
    <x v="11"/>
    <x v="1"/>
    <n v="0"/>
    <n v="654"/>
  </r>
  <r>
    <x v="30"/>
    <x v="2"/>
    <x v="0"/>
    <n v="0"/>
    <n v="1281"/>
  </r>
  <r>
    <x v="30"/>
    <x v="7"/>
    <x v="0"/>
    <n v="0"/>
    <n v="33"/>
  </r>
  <r>
    <x v="30"/>
    <x v="7"/>
    <x v="1"/>
    <n v="0"/>
    <n v="187"/>
  </r>
  <r>
    <x v="30"/>
    <x v="10"/>
    <x v="1"/>
    <n v="0"/>
    <n v="453"/>
  </r>
  <r>
    <x v="30"/>
    <x v="11"/>
    <x v="0"/>
    <n v="0"/>
    <n v="471"/>
  </r>
  <r>
    <x v="30"/>
    <x v="11"/>
    <x v="1"/>
    <n v="0"/>
    <n v="743"/>
  </r>
  <r>
    <x v="31"/>
    <x v="2"/>
    <x v="0"/>
    <n v="0"/>
    <n v="1458"/>
  </r>
  <r>
    <x v="31"/>
    <x v="7"/>
    <x v="0"/>
    <n v="0"/>
    <n v="39"/>
  </r>
  <r>
    <x v="31"/>
    <x v="7"/>
    <x v="1"/>
    <n v="0"/>
    <n v="166"/>
  </r>
  <r>
    <x v="31"/>
    <x v="10"/>
    <x v="1"/>
    <n v="0"/>
    <n v="531"/>
  </r>
  <r>
    <x v="32"/>
    <x v="7"/>
    <x v="0"/>
    <n v="0"/>
    <n v="7"/>
  </r>
  <r>
    <x v="32"/>
    <x v="7"/>
    <x v="1"/>
    <n v="0"/>
    <n v="144"/>
  </r>
  <r>
    <x v="32"/>
    <x v="10"/>
    <x v="1"/>
    <n v="0"/>
    <n v="568"/>
  </r>
  <r>
    <x v="32"/>
    <x v="11"/>
    <x v="0"/>
    <n v="0"/>
    <n v="421"/>
  </r>
  <r>
    <x v="32"/>
    <x v="11"/>
    <x v="1"/>
    <n v="0"/>
    <n v="562"/>
  </r>
  <r>
    <x v="33"/>
    <x v="2"/>
    <x v="0"/>
    <n v="0"/>
    <n v="995"/>
  </r>
  <r>
    <x v="33"/>
    <x v="11"/>
    <x v="0"/>
    <n v="0"/>
    <n v="505"/>
  </r>
  <r>
    <x v="33"/>
    <x v="7"/>
    <x v="1"/>
    <n v="0"/>
    <n v="141"/>
  </r>
  <r>
    <x v="33"/>
    <x v="22"/>
    <x v="1"/>
    <n v="0"/>
    <n v="177"/>
  </r>
  <r>
    <x v="33"/>
    <x v="11"/>
    <x v="1"/>
    <n v="0"/>
    <n v="877"/>
  </r>
  <r>
    <x v="34"/>
    <x v="2"/>
    <x v="0"/>
    <n v="0"/>
    <n v="1117"/>
  </r>
  <r>
    <x v="34"/>
    <x v="11"/>
    <x v="0"/>
    <n v="0"/>
    <n v="763"/>
  </r>
  <r>
    <x v="34"/>
    <x v="7"/>
    <x v="0"/>
    <n v="0"/>
    <n v="4"/>
  </r>
  <r>
    <x v="34"/>
    <x v="10"/>
    <x v="1"/>
    <n v="0"/>
    <n v="494"/>
  </r>
  <r>
    <x v="34"/>
    <x v="7"/>
    <x v="1"/>
    <n v="0"/>
    <n v="47"/>
  </r>
  <r>
    <x v="35"/>
    <x v="2"/>
    <x v="0"/>
    <n v="0"/>
    <n v="1259"/>
  </r>
  <r>
    <x v="35"/>
    <x v="7"/>
    <x v="0"/>
    <n v="0"/>
    <n v="11"/>
  </r>
  <r>
    <x v="35"/>
    <x v="10"/>
    <x v="1"/>
    <n v="0"/>
    <n v="463"/>
  </r>
  <r>
    <x v="35"/>
    <x v="11"/>
    <x v="1"/>
    <n v="0"/>
    <n v="1336"/>
  </r>
  <r>
    <x v="35"/>
    <x v="7"/>
    <x v="1"/>
    <n v="0"/>
    <n v="81"/>
  </r>
  <r>
    <x v="0"/>
    <x v="5"/>
    <x v="0"/>
    <n v="1"/>
    <n v="657"/>
  </r>
  <r>
    <x v="0"/>
    <x v="21"/>
    <x v="1"/>
    <n v="1"/>
    <n v="3544"/>
  </r>
  <r>
    <x v="0"/>
    <x v="9"/>
    <x v="1"/>
    <n v="1"/>
    <n v="930"/>
  </r>
  <r>
    <x v="1"/>
    <x v="15"/>
    <x v="1"/>
    <n v="1"/>
    <n v="413"/>
  </r>
  <r>
    <x v="1"/>
    <x v="23"/>
    <x v="1"/>
    <n v="1"/>
    <n v="4373"/>
  </r>
  <r>
    <x v="1"/>
    <x v="21"/>
    <x v="1"/>
    <n v="1"/>
    <n v="1503"/>
  </r>
  <r>
    <x v="1"/>
    <x v="24"/>
    <x v="1"/>
    <n v="1"/>
    <n v="2290"/>
  </r>
  <r>
    <x v="1"/>
    <x v="17"/>
    <x v="0"/>
    <n v="1"/>
    <n v="6302"/>
  </r>
  <r>
    <x v="1"/>
    <x v="9"/>
    <x v="1"/>
    <n v="1"/>
    <n v="88"/>
  </r>
  <r>
    <x v="2"/>
    <x v="3"/>
    <x v="1"/>
    <n v="1"/>
    <n v="3842"/>
  </r>
  <r>
    <x v="2"/>
    <x v="5"/>
    <x v="1"/>
    <n v="1"/>
    <n v="234"/>
  </r>
  <r>
    <x v="2"/>
    <x v="21"/>
    <x v="1"/>
    <n v="1"/>
    <n v="3193"/>
  </r>
  <r>
    <x v="2"/>
    <x v="6"/>
    <x v="1"/>
    <n v="1"/>
    <n v="4469"/>
  </r>
  <r>
    <x v="2"/>
    <x v="13"/>
    <x v="0"/>
    <n v="1"/>
    <n v="1523"/>
  </r>
  <r>
    <x v="3"/>
    <x v="6"/>
    <x v="1"/>
    <n v="1"/>
    <n v="5336"/>
  </r>
  <r>
    <x v="3"/>
    <x v="9"/>
    <x v="1"/>
    <n v="1"/>
    <n v="759"/>
  </r>
  <r>
    <x v="4"/>
    <x v="1"/>
    <x v="1"/>
    <n v="1"/>
    <n v="110"/>
  </r>
  <r>
    <x v="4"/>
    <x v="12"/>
    <x v="1"/>
    <n v="1"/>
    <n v="837"/>
  </r>
  <r>
    <x v="5"/>
    <x v="5"/>
    <x v="0"/>
    <n v="1"/>
    <n v="666"/>
  </r>
  <r>
    <x v="5"/>
    <x v="21"/>
    <x v="1"/>
    <n v="1"/>
    <n v="3379"/>
  </r>
  <r>
    <x v="5"/>
    <x v="6"/>
    <x v="1"/>
    <n v="1"/>
    <n v="3773"/>
  </r>
  <r>
    <x v="5"/>
    <x v="11"/>
    <x v="0"/>
    <n v="1"/>
    <n v="578"/>
  </r>
  <r>
    <x v="6"/>
    <x v="1"/>
    <x v="1"/>
    <n v="1"/>
    <n v="70"/>
  </r>
  <r>
    <x v="6"/>
    <x v="5"/>
    <x v="0"/>
    <n v="1"/>
    <n v="628"/>
  </r>
  <r>
    <x v="6"/>
    <x v="5"/>
    <x v="1"/>
    <n v="1"/>
    <n v="333"/>
  </r>
  <r>
    <x v="6"/>
    <x v="21"/>
    <x v="1"/>
    <n v="1"/>
    <n v="3201"/>
  </r>
  <r>
    <x v="7"/>
    <x v="5"/>
    <x v="0"/>
    <n v="1"/>
    <n v="938"/>
  </r>
  <r>
    <x v="7"/>
    <x v="12"/>
    <x v="1"/>
    <n v="1"/>
    <n v="532"/>
  </r>
  <r>
    <x v="8"/>
    <x v="1"/>
    <x v="1"/>
    <n v="1"/>
    <n v="122"/>
  </r>
  <r>
    <x v="8"/>
    <x v="5"/>
    <x v="1"/>
    <n v="1"/>
    <n v="336"/>
  </r>
  <r>
    <x v="8"/>
    <x v="21"/>
    <x v="1"/>
    <n v="1"/>
    <n v="4105"/>
  </r>
  <r>
    <x v="8"/>
    <x v="13"/>
    <x v="0"/>
    <n v="1"/>
    <n v="3579"/>
  </r>
  <r>
    <x v="10"/>
    <x v="5"/>
    <x v="1"/>
    <n v="1"/>
    <n v="354"/>
  </r>
  <r>
    <x v="10"/>
    <x v="9"/>
    <x v="1"/>
    <n v="1"/>
    <n v="917"/>
  </r>
  <r>
    <x v="11"/>
    <x v="5"/>
    <x v="1"/>
    <n v="1"/>
    <n v="355"/>
  </r>
  <r>
    <x v="12"/>
    <x v="1"/>
    <x v="1"/>
    <n v="1"/>
    <n v="147"/>
  </r>
  <r>
    <x v="12"/>
    <x v="5"/>
    <x v="1"/>
    <n v="1"/>
    <n v="431"/>
  </r>
  <r>
    <x v="12"/>
    <x v="8"/>
    <x v="0"/>
    <n v="1"/>
    <n v="1246"/>
  </r>
  <r>
    <x v="12"/>
    <x v="8"/>
    <x v="1"/>
    <n v="1"/>
    <n v="813"/>
  </r>
  <r>
    <x v="12"/>
    <x v="9"/>
    <x v="1"/>
    <n v="1"/>
    <n v="860"/>
  </r>
  <r>
    <x v="13"/>
    <x v="5"/>
    <x v="1"/>
    <n v="1"/>
    <n v="374"/>
  </r>
  <r>
    <x v="13"/>
    <x v="10"/>
    <x v="0"/>
    <n v="1"/>
    <n v="1638"/>
  </r>
  <r>
    <x v="13"/>
    <x v="11"/>
    <x v="0"/>
    <n v="1"/>
    <n v="514"/>
  </r>
  <r>
    <x v="14"/>
    <x v="5"/>
    <x v="0"/>
    <n v="1"/>
    <n v="767"/>
  </r>
  <r>
    <x v="14"/>
    <x v="9"/>
    <x v="1"/>
    <n v="1"/>
    <n v="1087"/>
  </r>
  <r>
    <x v="15"/>
    <x v="2"/>
    <x v="1"/>
    <n v="1"/>
    <n v="947"/>
  </r>
  <r>
    <x v="15"/>
    <x v="7"/>
    <x v="1"/>
    <n v="1"/>
    <n v="285"/>
  </r>
  <r>
    <x v="15"/>
    <x v="10"/>
    <x v="0"/>
    <n v="1"/>
    <n v="1427"/>
  </r>
  <r>
    <x v="16"/>
    <x v="5"/>
    <x v="1"/>
    <n v="1"/>
    <n v="303"/>
  </r>
  <r>
    <x v="17"/>
    <x v="5"/>
    <x v="1"/>
    <n v="1"/>
    <n v="390"/>
  </r>
  <r>
    <x v="17"/>
    <x v="8"/>
    <x v="0"/>
    <n v="1"/>
    <n v="2473"/>
  </r>
  <r>
    <x v="17"/>
    <x v="9"/>
    <x v="0"/>
    <n v="1"/>
    <n v="1719"/>
  </r>
  <r>
    <x v="18"/>
    <x v="9"/>
    <x v="1"/>
    <n v="1"/>
    <n v="1188"/>
  </r>
  <r>
    <x v="19"/>
    <x v="1"/>
    <x v="1"/>
    <n v="1"/>
    <n v="159"/>
  </r>
  <r>
    <x v="20"/>
    <x v="2"/>
    <x v="0"/>
    <n v="1"/>
    <n v="925"/>
  </r>
  <r>
    <x v="20"/>
    <x v="9"/>
    <x v="0"/>
    <n v="1"/>
    <n v="1180"/>
  </r>
  <r>
    <x v="20"/>
    <x v="19"/>
    <x v="1"/>
    <n v="1"/>
    <n v="13085"/>
  </r>
  <r>
    <x v="21"/>
    <x v="5"/>
    <x v="1"/>
    <n v="1"/>
    <n v="360"/>
  </r>
  <r>
    <x v="21"/>
    <x v="7"/>
    <x v="0"/>
    <n v="1"/>
    <n v="20"/>
  </r>
  <r>
    <x v="21"/>
    <x v="9"/>
    <x v="1"/>
    <n v="1"/>
    <n v="1271"/>
  </r>
  <r>
    <x v="23"/>
    <x v="1"/>
    <x v="0"/>
    <n v="1"/>
    <n v="373"/>
  </r>
  <r>
    <x v="23"/>
    <x v="1"/>
    <x v="1"/>
    <n v="1"/>
    <n v="162"/>
  </r>
  <r>
    <x v="23"/>
    <x v="9"/>
    <x v="0"/>
    <n v="1"/>
    <n v="1907"/>
  </r>
  <r>
    <x v="24"/>
    <x v="1"/>
    <x v="1"/>
    <n v="1"/>
    <n v="122"/>
  </r>
  <r>
    <x v="24"/>
    <x v="2"/>
    <x v="1"/>
    <n v="1"/>
    <n v="892"/>
  </r>
  <r>
    <x v="24"/>
    <x v="5"/>
    <x v="1"/>
    <n v="1"/>
    <n v="407"/>
  </r>
  <r>
    <x v="24"/>
    <x v="11"/>
    <x v="1"/>
    <n v="1"/>
    <n v="687"/>
  </r>
  <r>
    <x v="24"/>
    <x v="13"/>
    <x v="1"/>
    <n v="1"/>
    <n v="299"/>
  </r>
  <r>
    <x v="25"/>
    <x v="2"/>
    <x v="0"/>
    <n v="1"/>
    <n v="1193"/>
  </r>
  <r>
    <x v="26"/>
    <x v="1"/>
    <x v="1"/>
    <n v="1"/>
    <n v="136"/>
  </r>
  <r>
    <x v="26"/>
    <x v="5"/>
    <x v="1"/>
    <n v="1"/>
    <n v="370"/>
  </r>
  <r>
    <x v="26"/>
    <x v="9"/>
    <x v="0"/>
    <n v="1"/>
    <n v="1969"/>
  </r>
  <r>
    <x v="27"/>
    <x v="7"/>
    <x v="0"/>
    <n v="1"/>
    <n v="117"/>
  </r>
  <r>
    <x v="27"/>
    <x v="11"/>
    <x v="0"/>
    <n v="1"/>
    <n v="599"/>
  </r>
  <r>
    <x v="27"/>
    <x v="11"/>
    <x v="1"/>
    <n v="1"/>
    <n v="739"/>
  </r>
  <r>
    <x v="28"/>
    <x v="5"/>
    <x v="1"/>
    <n v="1"/>
    <n v="357"/>
  </r>
  <r>
    <x v="29"/>
    <x v="1"/>
    <x v="1"/>
    <n v="1"/>
    <n v="148"/>
  </r>
  <r>
    <x v="29"/>
    <x v="11"/>
    <x v="0"/>
    <n v="1"/>
    <n v="531"/>
  </r>
  <r>
    <x v="30"/>
    <x v="1"/>
    <x v="0"/>
    <n v="1"/>
    <n v="404"/>
  </r>
  <r>
    <x v="30"/>
    <x v="1"/>
    <x v="1"/>
    <n v="1"/>
    <n v="191"/>
  </r>
  <r>
    <x v="30"/>
    <x v="9"/>
    <x v="0"/>
    <n v="1"/>
    <n v="1776"/>
  </r>
  <r>
    <x v="30"/>
    <x v="9"/>
    <x v="1"/>
    <n v="1"/>
    <n v="1354"/>
  </r>
  <r>
    <x v="31"/>
    <x v="1"/>
    <x v="1"/>
    <n v="1"/>
    <n v="170"/>
  </r>
  <r>
    <x v="31"/>
    <x v="11"/>
    <x v="0"/>
    <n v="1"/>
    <n v="634"/>
  </r>
  <r>
    <x v="31"/>
    <x v="11"/>
    <x v="1"/>
    <n v="1"/>
    <n v="860"/>
  </r>
  <r>
    <x v="32"/>
    <x v="9"/>
    <x v="0"/>
    <n v="1"/>
    <n v="1518"/>
  </r>
  <r>
    <x v="32"/>
    <x v="9"/>
    <x v="1"/>
    <n v="1"/>
    <n v="1060"/>
  </r>
  <r>
    <x v="33"/>
    <x v="10"/>
    <x v="1"/>
    <n v="1"/>
    <n v="513"/>
  </r>
  <r>
    <x v="33"/>
    <x v="9"/>
    <x v="1"/>
    <n v="1"/>
    <n v="1429"/>
  </r>
  <r>
    <x v="34"/>
    <x v="1"/>
    <x v="1"/>
    <n v="1"/>
    <n v="181"/>
  </r>
  <r>
    <x v="34"/>
    <x v="11"/>
    <x v="1"/>
    <n v="1"/>
    <n v="822"/>
  </r>
  <r>
    <x v="35"/>
    <x v="1"/>
    <x v="1"/>
    <n v="1"/>
    <n v="158"/>
  </r>
  <r>
    <x v="35"/>
    <x v="2"/>
    <x v="1"/>
    <n v="1"/>
    <n v="1081"/>
  </r>
  <r>
    <x v="0"/>
    <x v="1"/>
    <x v="1"/>
    <n v="9"/>
    <n v="168"/>
  </r>
  <r>
    <x v="0"/>
    <x v="25"/>
    <x v="1"/>
    <n v="26"/>
    <n v="7837"/>
  </r>
  <r>
    <x v="0"/>
    <x v="14"/>
    <x v="1"/>
    <n v="4"/>
    <n v="5731"/>
  </r>
  <r>
    <x v="0"/>
    <x v="15"/>
    <x v="1"/>
    <n v="2"/>
    <n v="1426"/>
  </r>
  <r>
    <x v="0"/>
    <x v="16"/>
    <x v="1"/>
    <n v="61"/>
    <n v="8076"/>
  </r>
  <r>
    <x v="0"/>
    <x v="26"/>
    <x v="1"/>
    <n v="8"/>
    <n v="1442"/>
  </r>
  <r>
    <x v="0"/>
    <x v="27"/>
    <x v="1"/>
    <n v="44"/>
    <n v="17386"/>
  </r>
  <r>
    <x v="0"/>
    <x v="23"/>
    <x v="1"/>
    <n v="3"/>
    <n v="15476"/>
  </r>
  <r>
    <x v="0"/>
    <x v="24"/>
    <x v="1"/>
    <n v="3"/>
    <n v="3425"/>
  </r>
  <r>
    <x v="0"/>
    <x v="28"/>
    <x v="1"/>
    <n v="90"/>
    <n v="16864"/>
  </r>
  <r>
    <x v="0"/>
    <x v="29"/>
    <x v="1"/>
    <n v="132"/>
    <n v="23660"/>
  </r>
  <r>
    <x v="0"/>
    <x v="17"/>
    <x v="1"/>
    <n v="2"/>
    <n v="5356"/>
  </r>
  <r>
    <x v="0"/>
    <x v="30"/>
    <x v="1"/>
    <n v="96"/>
    <n v="16829"/>
  </r>
  <r>
    <x v="0"/>
    <x v="18"/>
    <x v="1"/>
    <n v="5"/>
    <n v="5101"/>
  </r>
  <r>
    <x v="0"/>
    <x v="19"/>
    <x v="1"/>
    <n v="4"/>
    <n v="8955"/>
  </r>
  <r>
    <x v="0"/>
    <x v="31"/>
    <x v="1"/>
    <n v="22"/>
    <n v="10647"/>
  </r>
  <r>
    <x v="0"/>
    <x v="32"/>
    <x v="1"/>
    <n v="75"/>
    <n v="18826"/>
  </r>
  <r>
    <x v="0"/>
    <x v="33"/>
    <x v="1"/>
    <n v="4"/>
    <n v="23056"/>
  </r>
  <r>
    <x v="0"/>
    <x v="20"/>
    <x v="1"/>
    <n v="10"/>
    <n v="2728"/>
  </r>
  <r>
    <x v="0"/>
    <x v="34"/>
    <x v="1"/>
    <n v="24"/>
    <n v="7640"/>
  </r>
  <r>
    <x v="1"/>
    <x v="25"/>
    <x v="1"/>
    <n v="16"/>
    <n v="5831"/>
  </r>
  <r>
    <x v="1"/>
    <x v="26"/>
    <x v="1"/>
    <n v="4"/>
    <n v="393"/>
  </r>
  <r>
    <x v="1"/>
    <x v="27"/>
    <x v="1"/>
    <n v="29"/>
    <n v="15959"/>
  </r>
  <r>
    <x v="1"/>
    <x v="28"/>
    <x v="1"/>
    <n v="2"/>
    <n v="646"/>
  </r>
  <r>
    <x v="1"/>
    <x v="29"/>
    <x v="1"/>
    <n v="48"/>
    <n v="5164"/>
  </r>
  <r>
    <x v="1"/>
    <x v="30"/>
    <x v="1"/>
    <n v="121"/>
    <n v="13528"/>
  </r>
  <r>
    <x v="1"/>
    <x v="12"/>
    <x v="1"/>
    <n v="2"/>
    <n v="119"/>
  </r>
  <r>
    <x v="1"/>
    <x v="31"/>
    <x v="1"/>
    <n v="7"/>
    <n v="2756"/>
  </r>
  <r>
    <x v="1"/>
    <x v="32"/>
    <x v="1"/>
    <n v="14"/>
    <n v="3413"/>
  </r>
  <r>
    <x v="1"/>
    <x v="33"/>
    <x v="1"/>
    <n v="3"/>
    <n v="14016"/>
  </r>
  <r>
    <x v="1"/>
    <x v="34"/>
    <x v="1"/>
    <n v="6"/>
    <n v="3962"/>
  </r>
  <r>
    <x v="2"/>
    <x v="25"/>
    <x v="1"/>
    <n v="39"/>
    <n v="6098"/>
  </r>
  <r>
    <x v="2"/>
    <x v="14"/>
    <x v="1"/>
    <n v="4"/>
    <n v="5692"/>
  </r>
  <r>
    <x v="2"/>
    <x v="15"/>
    <x v="1"/>
    <n v="12"/>
    <n v="2050"/>
  </r>
  <r>
    <x v="2"/>
    <x v="4"/>
    <x v="1"/>
    <n v="5"/>
    <n v="4526"/>
  </r>
  <r>
    <x v="2"/>
    <x v="16"/>
    <x v="1"/>
    <n v="148"/>
    <n v="12914"/>
  </r>
  <r>
    <x v="2"/>
    <x v="26"/>
    <x v="1"/>
    <n v="14"/>
    <n v="749"/>
  </r>
  <r>
    <x v="2"/>
    <x v="27"/>
    <x v="1"/>
    <n v="61"/>
    <n v="19359"/>
  </r>
  <r>
    <x v="2"/>
    <x v="23"/>
    <x v="1"/>
    <n v="4"/>
    <n v="13420"/>
  </r>
  <r>
    <x v="2"/>
    <x v="24"/>
    <x v="1"/>
    <n v="4"/>
    <n v="4405"/>
  </r>
  <r>
    <x v="2"/>
    <x v="28"/>
    <x v="1"/>
    <n v="71"/>
    <n v="8030"/>
  </r>
  <r>
    <x v="2"/>
    <x v="29"/>
    <x v="1"/>
    <n v="140"/>
    <n v="10018"/>
  </r>
  <r>
    <x v="2"/>
    <x v="17"/>
    <x v="1"/>
    <n v="13"/>
    <n v="12092"/>
  </r>
  <r>
    <x v="2"/>
    <x v="30"/>
    <x v="1"/>
    <n v="190"/>
    <n v="24817"/>
  </r>
  <r>
    <x v="2"/>
    <x v="18"/>
    <x v="1"/>
    <n v="2"/>
    <n v="3041"/>
  </r>
  <r>
    <x v="2"/>
    <x v="19"/>
    <x v="1"/>
    <n v="3"/>
    <n v="7126"/>
  </r>
  <r>
    <x v="2"/>
    <x v="31"/>
    <x v="1"/>
    <n v="34"/>
    <n v="12070"/>
  </r>
  <r>
    <x v="2"/>
    <x v="32"/>
    <x v="1"/>
    <n v="42"/>
    <n v="7793"/>
  </r>
  <r>
    <x v="2"/>
    <x v="33"/>
    <x v="1"/>
    <n v="3"/>
    <n v="25704"/>
  </r>
  <r>
    <x v="2"/>
    <x v="20"/>
    <x v="1"/>
    <n v="7"/>
    <n v="2972"/>
  </r>
  <r>
    <x v="2"/>
    <x v="34"/>
    <x v="1"/>
    <n v="18"/>
    <n v="6316"/>
  </r>
  <r>
    <x v="3"/>
    <x v="1"/>
    <x v="1"/>
    <n v="8"/>
    <n v="176"/>
  </r>
  <r>
    <x v="3"/>
    <x v="25"/>
    <x v="1"/>
    <n v="36"/>
    <n v="7877"/>
  </r>
  <r>
    <x v="3"/>
    <x v="14"/>
    <x v="1"/>
    <n v="5"/>
    <n v="5438"/>
  </r>
  <r>
    <x v="3"/>
    <x v="15"/>
    <x v="1"/>
    <n v="9"/>
    <n v="1916"/>
  </r>
  <r>
    <x v="3"/>
    <x v="4"/>
    <x v="1"/>
    <n v="12"/>
    <n v="4916"/>
  </r>
  <r>
    <x v="3"/>
    <x v="16"/>
    <x v="1"/>
    <n v="131"/>
    <n v="15033"/>
  </r>
  <r>
    <x v="3"/>
    <x v="26"/>
    <x v="1"/>
    <n v="10"/>
    <n v="982"/>
  </r>
  <r>
    <x v="3"/>
    <x v="27"/>
    <x v="1"/>
    <n v="53"/>
    <n v="23792"/>
  </r>
  <r>
    <x v="3"/>
    <x v="23"/>
    <x v="1"/>
    <n v="6"/>
    <n v="14524"/>
  </r>
  <r>
    <x v="3"/>
    <x v="21"/>
    <x v="1"/>
    <n v="2"/>
    <n v="3811"/>
  </r>
  <r>
    <x v="3"/>
    <x v="24"/>
    <x v="1"/>
    <n v="4"/>
    <n v="5020"/>
  </r>
  <r>
    <x v="3"/>
    <x v="28"/>
    <x v="1"/>
    <n v="196"/>
    <n v="21640"/>
  </r>
  <r>
    <x v="3"/>
    <x v="29"/>
    <x v="1"/>
    <n v="139"/>
    <n v="18406"/>
  </r>
  <r>
    <x v="3"/>
    <x v="17"/>
    <x v="1"/>
    <n v="17"/>
    <n v="14581"/>
  </r>
  <r>
    <x v="3"/>
    <x v="30"/>
    <x v="1"/>
    <n v="286"/>
    <n v="38063"/>
  </r>
  <r>
    <x v="3"/>
    <x v="18"/>
    <x v="1"/>
    <n v="3"/>
    <n v="5552"/>
  </r>
  <r>
    <x v="3"/>
    <x v="19"/>
    <x v="1"/>
    <n v="3"/>
    <n v="9328"/>
  </r>
  <r>
    <x v="3"/>
    <x v="31"/>
    <x v="1"/>
    <n v="52"/>
    <n v="14374"/>
  </r>
  <r>
    <x v="3"/>
    <x v="32"/>
    <x v="1"/>
    <n v="88"/>
    <n v="20857"/>
  </r>
  <r>
    <x v="3"/>
    <x v="33"/>
    <x v="1"/>
    <n v="8"/>
    <n v="27999"/>
  </r>
  <r>
    <x v="3"/>
    <x v="20"/>
    <x v="1"/>
    <n v="11"/>
    <n v="4182"/>
  </r>
  <r>
    <x v="3"/>
    <x v="34"/>
    <x v="1"/>
    <n v="37"/>
    <n v="8919"/>
  </r>
  <r>
    <x v="4"/>
    <x v="25"/>
    <x v="1"/>
    <n v="78"/>
    <n v="8245"/>
  </r>
  <r>
    <x v="4"/>
    <x v="3"/>
    <x v="1"/>
    <n v="2"/>
    <n v="6447"/>
  </r>
  <r>
    <x v="4"/>
    <x v="14"/>
    <x v="1"/>
    <n v="7"/>
    <n v="5724"/>
  </r>
  <r>
    <x v="4"/>
    <x v="15"/>
    <x v="1"/>
    <n v="9"/>
    <n v="1845"/>
  </r>
  <r>
    <x v="4"/>
    <x v="4"/>
    <x v="1"/>
    <n v="11"/>
    <n v="4350"/>
  </r>
  <r>
    <x v="4"/>
    <x v="16"/>
    <x v="1"/>
    <n v="157"/>
    <n v="13177"/>
  </r>
  <r>
    <x v="4"/>
    <x v="26"/>
    <x v="1"/>
    <n v="19"/>
    <n v="1439"/>
  </r>
  <r>
    <x v="4"/>
    <x v="27"/>
    <x v="1"/>
    <n v="83"/>
    <n v="20394"/>
  </r>
  <r>
    <x v="4"/>
    <x v="23"/>
    <x v="1"/>
    <n v="3"/>
    <n v="16027"/>
  </r>
  <r>
    <x v="4"/>
    <x v="24"/>
    <x v="1"/>
    <n v="3"/>
    <n v="5113"/>
  </r>
  <r>
    <x v="4"/>
    <x v="28"/>
    <x v="1"/>
    <n v="137"/>
    <n v="21975"/>
  </r>
  <r>
    <x v="4"/>
    <x v="29"/>
    <x v="1"/>
    <n v="183"/>
    <n v="22813"/>
  </r>
  <r>
    <x v="4"/>
    <x v="17"/>
    <x v="1"/>
    <n v="26"/>
    <n v="12758"/>
  </r>
  <r>
    <x v="4"/>
    <x v="30"/>
    <x v="1"/>
    <n v="197"/>
    <n v="35127"/>
  </r>
  <r>
    <x v="4"/>
    <x v="18"/>
    <x v="1"/>
    <n v="4"/>
    <n v="5453"/>
  </r>
  <r>
    <x v="4"/>
    <x v="19"/>
    <x v="1"/>
    <n v="4"/>
    <n v="9209"/>
  </r>
  <r>
    <x v="4"/>
    <x v="31"/>
    <x v="1"/>
    <n v="53"/>
    <n v="11454"/>
  </r>
  <r>
    <x v="4"/>
    <x v="32"/>
    <x v="1"/>
    <n v="88"/>
    <n v="20865"/>
  </r>
  <r>
    <x v="4"/>
    <x v="33"/>
    <x v="1"/>
    <n v="3"/>
    <n v="24012"/>
  </r>
  <r>
    <x v="4"/>
    <x v="20"/>
    <x v="1"/>
    <n v="6"/>
    <n v="3760"/>
  </r>
  <r>
    <x v="4"/>
    <x v="34"/>
    <x v="1"/>
    <n v="28"/>
    <n v="9198"/>
  </r>
  <r>
    <x v="5"/>
    <x v="25"/>
    <x v="1"/>
    <n v="39"/>
    <n v="7952"/>
  </r>
  <r>
    <x v="5"/>
    <x v="14"/>
    <x v="1"/>
    <n v="4"/>
    <n v="4339"/>
  </r>
  <r>
    <x v="5"/>
    <x v="15"/>
    <x v="1"/>
    <n v="20"/>
    <n v="1607"/>
  </r>
  <r>
    <x v="5"/>
    <x v="4"/>
    <x v="1"/>
    <n v="12"/>
    <n v="3650"/>
  </r>
  <r>
    <x v="5"/>
    <x v="16"/>
    <x v="1"/>
    <n v="265"/>
    <n v="9181"/>
  </r>
  <r>
    <x v="5"/>
    <x v="26"/>
    <x v="1"/>
    <n v="34"/>
    <n v="1277"/>
  </r>
  <r>
    <x v="5"/>
    <x v="27"/>
    <x v="1"/>
    <n v="131"/>
    <n v="24797"/>
  </r>
  <r>
    <x v="5"/>
    <x v="23"/>
    <x v="1"/>
    <n v="7"/>
    <n v="14879"/>
  </r>
  <r>
    <x v="5"/>
    <x v="24"/>
    <x v="1"/>
    <n v="12"/>
    <n v="3892"/>
  </r>
  <r>
    <x v="5"/>
    <x v="28"/>
    <x v="1"/>
    <n v="227"/>
    <n v="21407"/>
  </r>
  <r>
    <x v="5"/>
    <x v="29"/>
    <x v="1"/>
    <n v="164"/>
    <n v="22063"/>
  </r>
  <r>
    <x v="5"/>
    <x v="17"/>
    <x v="1"/>
    <n v="23"/>
    <n v="11756"/>
  </r>
  <r>
    <x v="5"/>
    <x v="30"/>
    <x v="1"/>
    <n v="148"/>
    <n v="27900"/>
  </r>
  <r>
    <x v="5"/>
    <x v="18"/>
    <x v="1"/>
    <n v="2"/>
    <n v="4865"/>
  </r>
  <r>
    <x v="5"/>
    <x v="12"/>
    <x v="1"/>
    <n v="2"/>
    <n v="640"/>
  </r>
  <r>
    <x v="5"/>
    <x v="19"/>
    <x v="1"/>
    <n v="3"/>
    <n v="7521"/>
  </r>
  <r>
    <x v="5"/>
    <x v="31"/>
    <x v="1"/>
    <n v="69"/>
    <n v="11035"/>
  </r>
  <r>
    <x v="5"/>
    <x v="32"/>
    <x v="1"/>
    <n v="107"/>
    <n v="18823"/>
  </r>
  <r>
    <x v="5"/>
    <x v="33"/>
    <x v="1"/>
    <n v="4"/>
    <n v="23510"/>
  </r>
  <r>
    <x v="5"/>
    <x v="20"/>
    <x v="1"/>
    <n v="10"/>
    <n v="3171"/>
  </r>
  <r>
    <x v="5"/>
    <x v="34"/>
    <x v="1"/>
    <n v="34"/>
    <n v="9437"/>
  </r>
  <r>
    <x v="6"/>
    <x v="25"/>
    <x v="1"/>
    <n v="37"/>
    <n v="7366"/>
  </r>
  <r>
    <x v="6"/>
    <x v="14"/>
    <x v="1"/>
    <n v="7"/>
    <n v="5838"/>
  </r>
  <r>
    <x v="6"/>
    <x v="15"/>
    <x v="1"/>
    <n v="12"/>
    <n v="1816"/>
  </r>
  <r>
    <x v="6"/>
    <x v="4"/>
    <x v="1"/>
    <n v="11"/>
    <n v="5255"/>
  </r>
  <r>
    <x v="6"/>
    <x v="16"/>
    <x v="1"/>
    <n v="253"/>
    <n v="12876"/>
  </r>
  <r>
    <x v="6"/>
    <x v="26"/>
    <x v="1"/>
    <n v="28"/>
    <n v="1165"/>
  </r>
  <r>
    <x v="6"/>
    <x v="27"/>
    <x v="1"/>
    <n v="104"/>
    <n v="23184"/>
  </r>
  <r>
    <x v="6"/>
    <x v="23"/>
    <x v="1"/>
    <n v="8"/>
    <n v="11634"/>
  </r>
  <r>
    <x v="6"/>
    <x v="6"/>
    <x v="1"/>
    <n v="2"/>
    <n v="4205"/>
  </r>
  <r>
    <x v="6"/>
    <x v="24"/>
    <x v="1"/>
    <n v="5"/>
    <n v="4806"/>
  </r>
  <r>
    <x v="6"/>
    <x v="28"/>
    <x v="1"/>
    <n v="163"/>
    <n v="18505"/>
  </r>
  <r>
    <x v="6"/>
    <x v="29"/>
    <x v="1"/>
    <n v="158"/>
    <n v="14562"/>
  </r>
  <r>
    <x v="6"/>
    <x v="17"/>
    <x v="1"/>
    <n v="20"/>
    <n v="9554"/>
  </r>
  <r>
    <x v="6"/>
    <x v="30"/>
    <x v="1"/>
    <n v="298"/>
    <n v="33771"/>
  </r>
  <r>
    <x v="6"/>
    <x v="18"/>
    <x v="1"/>
    <n v="2"/>
    <n v="5830"/>
  </r>
  <r>
    <x v="6"/>
    <x v="19"/>
    <x v="1"/>
    <n v="5"/>
    <n v="8523"/>
  </r>
  <r>
    <x v="6"/>
    <x v="31"/>
    <x v="1"/>
    <n v="86"/>
    <n v="12823"/>
  </r>
  <r>
    <x v="6"/>
    <x v="32"/>
    <x v="1"/>
    <n v="119"/>
    <n v="14796"/>
  </r>
  <r>
    <x v="6"/>
    <x v="33"/>
    <x v="1"/>
    <n v="10"/>
    <n v="23095"/>
  </r>
  <r>
    <x v="6"/>
    <x v="20"/>
    <x v="1"/>
    <n v="13"/>
    <n v="3523"/>
  </r>
  <r>
    <x v="6"/>
    <x v="34"/>
    <x v="1"/>
    <n v="33"/>
    <n v="7120"/>
  </r>
  <r>
    <x v="7"/>
    <x v="25"/>
    <x v="1"/>
    <n v="34"/>
    <n v="7374"/>
  </r>
  <r>
    <x v="7"/>
    <x v="14"/>
    <x v="1"/>
    <n v="11"/>
    <n v="6992"/>
  </r>
  <r>
    <x v="7"/>
    <x v="15"/>
    <x v="1"/>
    <n v="16"/>
    <n v="1919"/>
  </r>
  <r>
    <x v="7"/>
    <x v="4"/>
    <x v="1"/>
    <n v="14"/>
    <n v="4824"/>
  </r>
  <r>
    <x v="7"/>
    <x v="16"/>
    <x v="1"/>
    <n v="185"/>
    <n v="11782"/>
  </r>
  <r>
    <x v="7"/>
    <x v="26"/>
    <x v="1"/>
    <n v="20"/>
    <n v="1293"/>
  </r>
  <r>
    <x v="7"/>
    <x v="27"/>
    <x v="1"/>
    <n v="121"/>
    <n v="22396"/>
  </r>
  <r>
    <x v="7"/>
    <x v="23"/>
    <x v="1"/>
    <n v="13"/>
    <n v="16035"/>
  </r>
  <r>
    <x v="7"/>
    <x v="24"/>
    <x v="1"/>
    <n v="8"/>
    <n v="5320"/>
  </r>
  <r>
    <x v="7"/>
    <x v="28"/>
    <x v="1"/>
    <n v="153"/>
    <n v="17247"/>
  </r>
  <r>
    <x v="7"/>
    <x v="29"/>
    <x v="1"/>
    <n v="214"/>
    <n v="15244"/>
  </r>
  <r>
    <x v="7"/>
    <x v="17"/>
    <x v="1"/>
    <n v="31"/>
    <n v="12871"/>
  </r>
  <r>
    <x v="7"/>
    <x v="30"/>
    <x v="1"/>
    <n v="515"/>
    <n v="28322"/>
  </r>
  <r>
    <x v="7"/>
    <x v="18"/>
    <x v="1"/>
    <n v="18"/>
    <n v="5095"/>
  </r>
  <r>
    <x v="7"/>
    <x v="19"/>
    <x v="1"/>
    <n v="3"/>
    <n v="9015"/>
  </r>
  <r>
    <x v="7"/>
    <x v="31"/>
    <x v="1"/>
    <n v="79"/>
    <n v="16115"/>
  </r>
  <r>
    <x v="7"/>
    <x v="32"/>
    <x v="1"/>
    <n v="108"/>
    <n v="15533"/>
  </r>
  <r>
    <x v="7"/>
    <x v="33"/>
    <x v="1"/>
    <n v="10"/>
    <n v="29608"/>
  </r>
  <r>
    <x v="7"/>
    <x v="20"/>
    <x v="1"/>
    <n v="12"/>
    <n v="3954"/>
  </r>
  <r>
    <x v="7"/>
    <x v="34"/>
    <x v="1"/>
    <n v="59"/>
    <n v="8836"/>
  </r>
  <r>
    <x v="8"/>
    <x v="25"/>
    <x v="1"/>
    <n v="31"/>
    <n v="6314"/>
  </r>
  <r>
    <x v="8"/>
    <x v="3"/>
    <x v="1"/>
    <n v="3"/>
    <n v="6737"/>
  </r>
  <r>
    <x v="8"/>
    <x v="14"/>
    <x v="1"/>
    <n v="7"/>
    <n v="5031"/>
  </r>
  <r>
    <x v="8"/>
    <x v="15"/>
    <x v="1"/>
    <n v="12"/>
    <n v="1985"/>
  </r>
  <r>
    <x v="8"/>
    <x v="4"/>
    <x v="1"/>
    <n v="5"/>
    <n v="3651"/>
  </r>
  <r>
    <x v="8"/>
    <x v="16"/>
    <x v="1"/>
    <n v="277"/>
    <n v="12633"/>
  </r>
  <r>
    <x v="8"/>
    <x v="26"/>
    <x v="1"/>
    <n v="19"/>
    <n v="1306"/>
  </r>
  <r>
    <x v="8"/>
    <x v="27"/>
    <x v="1"/>
    <n v="163"/>
    <n v="24277"/>
  </r>
  <r>
    <x v="8"/>
    <x v="23"/>
    <x v="1"/>
    <n v="11"/>
    <n v="16015"/>
  </r>
  <r>
    <x v="8"/>
    <x v="24"/>
    <x v="1"/>
    <n v="3"/>
    <n v="4258"/>
  </r>
  <r>
    <x v="8"/>
    <x v="28"/>
    <x v="1"/>
    <n v="153"/>
    <n v="16243"/>
  </r>
  <r>
    <x v="8"/>
    <x v="29"/>
    <x v="1"/>
    <n v="186"/>
    <n v="16994"/>
  </r>
  <r>
    <x v="8"/>
    <x v="17"/>
    <x v="1"/>
    <n v="30"/>
    <n v="11820"/>
  </r>
  <r>
    <x v="8"/>
    <x v="30"/>
    <x v="1"/>
    <n v="1392"/>
    <n v="29346"/>
  </r>
  <r>
    <x v="8"/>
    <x v="18"/>
    <x v="1"/>
    <n v="20"/>
    <n v="4634"/>
  </r>
  <r>
    <x v="8"/>
    <x v="12"/>
    <x v="1"/>
    <n v="2"/>
    <n v="608"/>
  </r>
  <r>
    <x v="8"/>
    <x v="19"/>
    <x v="1"/>
    <n v="6"/>
    <n v="10624"/>
  </r>
  <r>
    <x v="8"/>
    <x v="31"/>
    <x v="1"/>
    <n v="73"/>
    <n v="12739"/>
  </r>
  <r>
    <x v="8"/>
    <x v="32"/>
    <x v="1"/>
    <n v="121"/>
    <n v="17001"/>
  </r>
  <r>
    <x v="8"/>
    <x v="33"/>
    <x v="1"/>
    <n v="21"/>
    <n v="33774"/>
  </r>
  <r>
    <x v="8"/>
    <x v="20"/>
    <x v="1"/>
    <n v="38"/>
    <n v="4270"/>
  </r>
  <r>
    <x v="8"/>
    <x v="34"/>
    <x v="1"/>
    <n v="39"/>
    <n v="8452"/>
  </r>
  <r>
    <x v="9"/>
    <x v="25"/>
    <x v="1"/>
    <n v="29"/>
    <n v="8418"/>
  </r>
  <r>
    <x v="9"/>
    <x v="14"/>
    <x v="1"/>
    <n v="10"/>
    <n v="5538"/>
  </r>
  <r>
    <x v="9"/>
    <x v="15"/>
    <x v="1"/>
    <n v="7"/>
    <n v="1519"/>
  </r>
  <r>
    <x v="9"/>
    <x v="4"/>
    <x v="1"/>
    <n v="11"/>
    <n v="4667"/>
  </r>
  <r>
    <x v="9"/>
    <x v="16"/>
    <x v="1"/>
    <n v="282"/>
    <n v="13659"/>
  </r>
  <r>
    <x v="9"/>
    <x v="26"/>
    <x v="1"/>
    <n v="26"/>
    <n v="1185"/>
  </r>
  <r>
    <x v="9"/>
    <x v="27"/>
    <x v="1"/>
    <n v="97"/>
    <n v="21963"/>
  </r>
  <r>
    <x v="9"/>
    <x v="23"/>
    <x v="1"/>
    <n v="26"/>
    <n v="17633"/>
  </r>
  <r>
    <x v="9"/>
    <x v="21"/>
    <x v="1"/>
    <n v="3"/>
    <n v="3090"/>
  </r>
  <r>
    <x v="9"/>
    <x v="24"/>
    <x v="1"/>
    <n v="5"/>
    <n v="4345"/>
  </r>
  <r>
    <x v="9"/>
    <x v="28"/>
    <x v="1"/>
    <n v="209"/>
    <n v="21967"/>
  </r>
  <r>
    <x v="9"/>
    <x v="29"/>
    <x v="1"/>
    <n v="212"/>
    <n v="17441"/>
  </r>
  <r>
    <x v="9"/>
    <x v="17"/>
    <x v="1"/>
    <n v="25"/>
    <n v="11325"/>
  </r>
  <r>
    <x v="9"/>
    <x v="30"/>
    <x v="1"/>
    <n v="263"/>
    <n v="35772"/>
  </r>
  <r>
    <x v="9"/>
    <x v="18"/>
    <x v="1"/>
    <n v="27"/>
    <n v="5876"/>
  </r>
  <r>
    <x v="9"/>
    <x v="19"/>
    <x v="1"/>
    <n v="7"/>
    <n v="9792"/>
  </r>
  <r>
    <x v="9"/>
    <x v="31"/>
    <x v="1"/>
    <n v="92"/>
    <n v="13658"/>
  </r>
  <r>
    <x v="9"/>
    <x v="32"/>
    <x v="1"/>
    <n v="121"/>
    <n v="20494"/>
  </r>
  <r>
    <x v="9"/>
    <x v="33"/>
    <x v="1"/>
    <n v="14"/>
    <n v="32561"/>
  </r>
  <r>
    <x v="9"/>
    <x v="20"/>
    <x v="1"/>
    <n v="30"/>
    <n v="4241"/>
  </r>
  <r>
    <x v="9"/>
    <x v="34"/>
    <x v="1"/>
    <n v="54"/>
    <n v="7968"/>
  </r>
  <r>
    <x v="10"/>
    <x v="25"/>
    <x v="1"/>
    <n v="43"/>
    <n v="6361"/>
  </r>
  <r>
    <x v="10"/>
    <x v="3"/>
    <x v="1"/>
    <n v="3"/>
    <n v="6152"/>
  </r>
  <r>
    <x v="10"/>
    <x v="14"/>
    <x v="1"/>
    <n v="8"/>
    <n v="5658"/>
  </r>
  <r>
    <x v="10"/>
    <x v="15"/>
    <x v="1"/>
    <n v="11"/>
    <n v="1941"/>
  </r>
  <r>
    <x v="10"/>
    <x v="4"/>
    <x v="1"/>
    <n v="20"/>
    <n v="3922"/>
  </r>
  <r>
    <x v="10"/>
    <x v="16"/>
    <x v="1"/>
    <n v="298"/>
    <n v="12608"/>
  </r>
  <r>
    <x v="10"/>
    <x v="26"/>
    <x v="1"/>
    <n v="62"/>
    <n v="1160"/>
  </r>
  <r>
    <x v="10"/>
    <x v="27"/>
    <x v="1"/>
    <n v="128"/>
    <n v="24012"/>
  </r>
  <r>
    <x v="10"/>
    <x v="23"/>
    <x v="1"/>
    <n v="28"/>
    <n v="16353"/>
  </r>
  <r>
    <x v="10"/>
    <x v="21"/>
    <x v="1"/>
    <n v="5"/>
    <n v="3616"/>
  </r>
  <r>
    <x v="10"/>
    <x v="6"/>
    <x v="1"/>
    <n v="7"/>
    <n v="4679"/>
  </r>
  <r>
    <x v="10"/>
    <x v="24"/>
    <x v="1"/>
    <n v="4"/>
    <n v="4335"/>
  </r>
  <r>
    <x v="10"/>
    <x v="28"/>
    <x v="1"/>
    <n v="202"/>
    <n v="17561"/>
  </r>
  <r>
    <x v="10"/>
    <x v="29"/>
    <x v="1"/>
    <n v="327"/>
    <n v="14575"/>
  </r>
  <r>
    <x v="10"/>
    <x v="17"/>
    <x v="1"/>
    <n v="22"/>
    <n v="11274"/>
  </r>
  <r>
    <x v="10"/>
    <x v="30"/>
    <x v="1"/>
    <n v="905"/>
    <n v="31805"/>
  </r>
  <r>
    <x v="10"/>
    <x v="18"/>
    <x v="1"/>
    <n v="27"/>
    <n v="5023"/>
  </r>
  <r>
    <x v="10"/>
    <x v="19"/>
    <x v="1"/>
    <n v="5"/>
    <n v="9464"/>
  </r>
  <r>
    <x v="10"/>
    <x v="31"/>
    <x v="1"/>
    <n v="116"/>
    <n v="14811"/>
  </r>
  <r>
    <x v="10"/>
    <x v="32"/>
    <x v="1"/>
    <n v="135"/>
    <n v="16711"/>
  </r>
  <r>
    <x v="10"/>
    <x v="33"/>
    <x v="1"/>
    <n v="22"/>
    <n v="28479"/>
  </r>
  <r>
    <x v="10"/>
    <x v="20"/>
    <x v="1"/>
    <n v="24"/>
    <n v="3820"/>
  </r>
  <r>
    <x v="10"/>
    <x v="34"/>
    <x v="1"/>
    <n v="45"/>
    <n v="7395"/>
  </r>
  <r>
    <x v="11"/>
    <x v="1"/>
    <x v="1"/>
    <n v="2"/>
    <n v="108"/>
  </r>
  <r>
    <x v="11"/>
    <x v="25"/>
    <x v="1"/>
    <n v="55"/>
    <n v="7288"/>
  </r>
  <r>
    <x v="11"/>
    <x v="3"/>
    <x v="1"/>
    <n v="2"/>
    <n v="7281"/>
  </r>
  <r>
    <x v="11"/>
    <x v="14"/>
    <x v="1"/>
    <n v="12"/>
    <n v="6694"/>
  </r>
  <r>
    <x v="11"/>
    <x v="15"/>
    <x v="1"/>
    <n v="14"/>
    <n v="2279"/>
  </r>
  <r>
    <x v="11"/>
    <x v="4"/>
    <x v="1"/>
    <n v="19"/>
    <n v="4200"/>
  </r>
  <r>
    <x v="11"/>
    <x v="16"/>
    <x v="1"/>
    <n v="220"/>
    <n v="13385"/>
  </r>
  <r>
    <x v="11"/>
    <x v="26"/>
    <x v="1"/>
    <n v="91"/>
    <n v="1474"/>
  </r>
  <r>
    <x v="11"/>
    <x v="27"/>
    <x v="1"/>
    <n v="249"/>
    <n v="26077"/>
  </r>
  <r>
    <x v="11"/>
    <x v="23"/>
    <x v="1"/>
    <n v="13"/>
    <n v="18621"/>
  </r>
  <r>
    <x v="11"/>
    <x v="21"/>
    <x v="1"/>
    <n v="3"/>
    <n v="3371"/>
  </r>
  <r>
    <x v="11"/>
    <x v="6"/>
    <x v="1"/>
    <n v="4"/>
    <n v="4854"/>
  </r>
  <r>
    <x v="11"/>
    <x v="24"/>
    <x v="1"/>
    <n v="5"/>
    <n v="5062"/>
  </r>
  <r>
    <x v="11"/>
    <x v="28"/>
    <x v="1"/>
    <n v="230"/>
    <n v="22167"/>
  </r>
  <r>
    <x v="11"/>
    <x v="29"/>
    <x v="1"/>
    <n v="331"/>
    <n v="16628"/>
  </r>
  <r>
    <x v="11"/>
    <x v="17"/>
    <x v="1"/>
    <n v="35"/>
    <n v="11616"/>
  </r>
  <r>
    <x v="11"/>
    <x v="30"/>
    <x v="1"/>
    <n v="2060"/>
    <n v="39762"/>
  </r>
  <r>
    <x v="11"/>
    <x v="18"/>
    <x v="1"/>
    <n v="31"/>
    <n v="6098"/>
  </r>
  <r>
    <x v="11"/>
    <x v="12"/>
    <x v="1"/>
    <n v="3"/>
    <n v="817"/>
  </r>
  <r>
    <x v="11"/>
    <x v="19"/>
    <x v="1"/>
    <n v="4"/>
    <n v="10836"/>
  </r>
  <r>
    <x v="11"/>
    <x v="31"/>
    <x v="1"/>
    <n v="89"/>
    <n v="13751"/>
  </r>
  <r>
    <x v="11"/>
    <x v="32"/>
    <x v="1"/>
    <n v="168"/>
    <n v="20604"/>
  </r>
  <r>
    <x v="11"/>
    <x v="33"/>
    <x v="1"/>
    <n v="18"/>
    <n v="29324"/>
  </r>
  <r>
    <x v="11"/>
    <x v="20"/>
    <x v="1"/>
    <n v="20"/>
    <n v="4026"/>
  </r>
  <r>
    <x v="11"/>
    <x v="34"/>
    <x v="1"/>
    <n v="41"/>
    <n v="8539"/>
  </r>
  <r>
    <x v="12"/>
    <x v="25"/>
    <x v="1"/>
    <n v="54"/>
    <n v="7195"/>
  </r>
  <r>
    <x v="12"/>
    <x v="3"/>
    <x v="1"/>
    <n v="2"/>
    <n v="6354"/>
  </r>
  <r>
    <x v="12"/>
    <x v="14"/>
    <x v="1"/>
    <n v="8"/>
    <n v="5981"/>
  </r>
  <r>
    <x v="12"/>
    <x v="15"/>
    <x v="1"/>
    <n v="12"/>
    <n v="2167"/>
  </r>
  <r>
    <x v="12"/>
    <x v="4"/>
    <x v="1"/>
    <n v="20"/>
    <n v="4861"/>
  </r>
  <r>
    <x v="12"/>
    <x v="16"/>
    <x v="1"/>
    <n v="566"/>
    <n v="15811"/>
  </r>
  <r>
    <x v="12"/>
    <x v="26"/>
    <x v="1"/>
    <n v="31"/>
    <n v="1390"/>
  </r>
  <r>
    <x v="12"/>
    <x v="27"/>
    <x v="1"/>
    <n v="171"/>
    <n v="26534"/>
  </r>
  <r>
    <x v="12"/>
    <x v="23"/>
    <x v="1"/>
    <n v="11"/>
    <n v="16721"/>
  </r>
  <r>
    <x v="12"/>
    <x v="21"/>
    <x v="1"/>
    <n v="4"/>
    <n v="3140"/>
  </r>
  <r>
    <x v="12"/>
    <x v="6"/>
    <x v="1"/>
    <n v="3"/>
    <n v="4468"/>
  </r>
  <r>
    <x v="12"/>
    <x v="24"/>
    <x v="1"/>
    <n v="9"/>
    <n v="4564"/>
  </r>
  <r>
    <x v="12"/>
    <x v="28"/>
    <x v="1"/>
    <n v="311"/>
    <n v="24129"/>
  </r>
  <r>
    <x v="12"/>
    <x v="29"/>
    <x v="1"/>
    <n v="275"/>
    <n v="16142"/>
  </r>
  <r>
    <x v="12"/>
    <x v="17"/>
    <x v="1"/>
    <n v="37"/>
    <n v="11896"/>
  </r>
  <r>
    <x v="12"/>
    <x v="30"/>
    <x v="1"/>
    <n v="354"/>
    <n v="32449"/>
  </r>
  <r>
    <x v="12"/>
    <x v="18"/>
    <x v="1"/>
    <n v="31"/>
    <n v="5448"/>
  </r>
  <r>
    <x v="12"/>
    <x v="12"/>
    <x v="1"/>
    <n v="2"/>
    <n v="702"/>
  </r>
  <r>
    <x v="12"/>
    <x v="19"/>
    <x v="1"/>
    <n v="3"/>
    <n v="10147"/>
  </r>
  <r>
    <x v="12"/>
    <x v="31"/>
    <x v="1"/>
    <n v="87"/>
    <n v="15176"/>
  </r>
  <r>
    <x v="12"/>
    <x v="32"/>
    <x v="1"/>
    <n v="154"/>
    <n v="17499"/>
  </r>
  <r>
    <x v="12"/>
    <x v="33"/>
    <x v="1"/>
    <n v="11"/>
    <n v="32173"/>
  </r>
  <r>
    <x v="12"/>
    <x v="20"/>
    <x v="1"/>
    <n v="49"/>
    <n v="4116"/>
  </r>
  <r>
    <x v="12"/>
    <x v="34"/>
    <x v="1"/>
    <n v="40"/>
    <n v="8560"/>
  </r>
  <r>
    <x v="13"/>
    <x v="25"/>
    <x v="1"/>
    <n v="59"/>
    <n v="6927"/>
  </r>
  <r>
    <x v="13"/>
    <x v="3"/>
    <x v="1"/>
    <n v="7"/>
    <n v="6761"/>
  </r>
  <r>
    <x v="13"/>
    <x v="14"/>
    <x v="1"/>
    <n v="12"/>
    <n v="6495"/>
  </r>
  <r>
    <x v="13"/>
    <x v="15"/>
    <x v="1"/>
    <n v="20"/>
    <n v="2248"/>
  </r>
  <r>
    <x v="13"/>
    <x v="4"/>
    <x v="1"/>
    <n v="24"/>
    <n v="4397"/>
  </r>
  <r>
    <x v="13"/>
    <x v="16"/>
    <x v="1"/>
    <n v="750"/>
    <n v="15194"/>
  </r>
  <r>
    <x v="13"/>
    <x v="26"/>
    <x v="1"/>
    <n v="51"/>
    <n v="1360"/>
  </r>
  <r>
    <x v="13"/>
    <x v="27"/>
    <x v="1"/>
    <n v="163"/>
    <n v="23174"/>
  </r>
  <r>
    <x v="13"/>
    <x v="23"/>
    <x v="1"/>
    <n v="31"/>
    <n v="18343"/>
  </r>
  <r>
    <x v="13"/>
    <x v="21"/>
    <x v="1"/>
    <n v="3"/>
    <n v="3778"/>
  </r>
  <r>
    <x v="13"/>
    <x v="6"/>
    <x v="1"/>
    <n v="2"/>
    <n v="4775"/>
  </r>
  <r>
    <x v="13"/>
    <x v="24"/>
    <x v="1"/>
    <n v="3"/>
    <n v="4306"/>
  </r>
  <r>
    <x v="13"/>
    <x v="28"/>
    <x v="1"/>
    <n v="241"/>
    <n v="20924"/>
  </r>
  <r>
    <x v="13"/>
    <x v="29"/>
    <x v="1"/>
    <n v="258"/>
    <n v="15706"/>
  </r>
  <r>
    <x v="13"/>
    <x v="17"/>
    <x v="1"/>
    <n v="43"/>
    <n v="14017"/>
  </r>
  <r>
    <x v="13"/>
    <x v="30"/>
    <x v="1"/>
    <n v="794"/>
    <n v="34222"/>
  </r>
  <r>
    <x v="13"/>
    <x v="9"/>
    <x v="1"/>
    <n v="3"/>
    <n v="1051"/>
  </r>
  <r>
    <x v="13"/>
    <x v="18"/>
    <x v="1"/>
    <n v="40"/>
    <n v="5583"/>
  </r>
  <r>
    <x v="13"/>
    <x v="12"/>
    <x v="1"/>
    <n v="2"/>
    <n v="726"/>
  </r>
  <r>
    <x v="13"/>
    <x v="19"/>
    <x v="1"/>
    <n v="2"/>
    <n v="9843"/>
  </r>
  <r>
    <x v="13"/>
    <x v="31"/>
    <x v="1"/>
    <n v="124"/>
    <n v="17047"/>
  </r>
  <r>
    <x v="13"/>
    <x v="32"/>
    <x v="1"/>
    <n v="202"/>
    <n v="19368"/>
  </r>
  <r>
    <x v="13"/>
    <x v="33"/>
    <x v="1"/>
    <n v="26"/>
    <n v="30695"/>
  </r>
  <r>
    <x v="13"/>
    <x v="20"/>
    <x v="1"/>
    <n v="22"/>
    <n v="3948"/>
  </r>
  <r>
    <x v="13"/>
    <x v="34"/>
    <x v="1"/>
    <n v="76"/>
    <n v="8341"/>
  </r>
  <r>
    <x v="14"/>
    <x v="25"/>
    <x v="1"/>
    <n v="47"/>
    <n v="6652"/>
  </r>
  <r>
    <x v="14"/>
    <x v="3"/>
    <x v="1"/>
    <n v="9"/>
    <n v="5825"/>
  </r>
  <r>
    <x v="14"/>
    <x v="14"/>
    <x v="1"/>
    <n v="16"/>
    <n v="5543"/>
  </r>
  <r>
    <x v="14"/>
    <x v="15"/>
    <x v="1"/>
    <n v="19"/>
    <n v="1993"/>
  </r>
  <r>
    <x v="14"/>
    <x v="4"/>
    <x v="1"/>
    <n v="32"/>
    <n v="3933"/>
  </r>
  <r>
    <x v="14"/>
    <x v="5"/>
    <x v="1"/>
    <n v="4"/>
    <n v="369"/>
  </r>
  <r>
    <x v="14"/>
    <x v="16"/>
    <x v="1"/>
    <n v="267"/>
    <n v="14908"/>
  </r>
  <r>
    <x v="14"/>
    <x v="26"/>
    <x v="1"/>
    <n v="74"/>
    <n v="1342"/>
  </r>
  <r>
    <x v="14"/>
    <x v="27"/>
    <x v="1"/>
    <n v="337"/>
    <n v="26192"/>
  </r>
  <r>
    <x v="14"/>
    <x v="23"/>
    <x v="1"/>
    <n v="26"/>
    <n v="17365"/>
  </r>
  <r>
    <x v="14"/>
    <x v="21"/>
    <x v="1"/>
    <n v="2"/>
    <n v="3457"/>
  </r>
  <r>
    <x v="14"/>
    <x v="6"/>
    <x v="1"/>
    <n v="4"/>
    <n v="4239"/>
  </r>
  <r>
    <x v="14"/>
    <x v="24"/>
    <x v="1"/>
    <n v="19"/>
    <n v="4097"/>
  </r>
  <r>
    <x v="14"/>
    <x v="28"/>
    <x v="1"/>
    <n v="359"/>
    <n v="22817"/>
  </r>
  <r>
    <x v="14"/>
    <x v="29"/>
    <x v="1"/>
    <n v="345"/>
    <n v="16486"/>
  </r>
  <r>
    <x v="14"/>
    <x v="17"/>
    <x v="1"/>
    <n v="42"/>
    <n v="12480"/>
  </r>
  <r>
    <x v="14"/>
    <x v="30"/>
    <x v="1"/>
    <n v="1082"/>
    <n v="35587"/>
  </r>
  <r>
    <x v="14"/>
    <x v="18"/>
    <x v="1"/>
    <n v="32"/>
    <n v="5778"/>
  </r>
  <r>
    <x v="14"/>
    <x v="12"/>
    <x v="1"/>
    <n v="9"/>
    <n v="808"/>
  </r>
  <r>
    <x v="14"/>
    <x v="19"/>
    <x v="1"/>
    <n v="3"/>
    <n v="9388"/>
  </r>
  <r>
    <x v="14"/>
    <x v="31"/>
    <x v="1"/>
    <n v="136"/>
    <n v="13559"/>
  </r>
  <r>
    <x v="14"/>
    <x v="32"/>
    <x v="1"/>
    <n v="199"/>
    <n v="20592"/>
  </r>
  <r>
    <x v="14"/>
    <x v="33"/>
    <x v="1"/>
    <n v="17"/>
    <n v="27820"/>
  </r>
  <r>
    <x v="14"/>
    <x v="20"/>
    <x v="1"/>
    <n v="38"/>
    <n v="3959"/>
  </r>
  <r>
    <x v="14"/>
    <x v="34"/>
    <x v="1"/>
    <n v="91"/>
    <n v="8407"/>
  </r>
  <r>
    <x v="15"/>
    <x v="25"/>
    <x v="1"/>
    <n v="63"/>
    <n v="6757"/>
  </r>
  <r>
    <x v="15"/>
    <x v="3"/>
    <x v="1"/>
    <n v="11"/>
    <n v="6769"/>
  </r>
  <r>
    <x v="15"/>
    <x v="14"/>
    <x v="1"/>
    <n v="10"/>
    <n v="5215"/>
  </r>
  <r>
    <x v="15"/>
    <x v="15"/>
    <x v="1"/>
    <n v="21"/>
    <n v="2709"/>
  </r>
  <r>
    <x v="15"/>
    <x v="4"/>
    <x v="1"/>
    <n v="29"/>
    <n v="4394"/>
  </r>
  <r>
    <x v="15"/>
    <x v="16"/>
    <x v="1"/>
    <n v="438"/>
    <n v="16056"/>
  </r>
  <r>
    <x v="15"/>
    <x v="26"/>
    <x v="1"/>
    <n v="107"/>
    <n v="1545"/>
  </r>
  <r>
    <x v="15"/>
    <x v="27"/>
    <x v="1"/>
    <n v="308"/>
    <n v="24735"/>
  </r>
  <r>
    <x v="15"/>
    <x v="23"/>
    <x v="1"/>
    <n v="135"/>
    <n v="17539"/>
  </r>
  <r>
    <x v="15"/>
    <x v="21"/>
    <x v="1"/>
    <n v="6"/>
    <n v="3618"/>
  </r>
  <r>
    <x v="15"/>
    <x v="6"/>
    <x v="1"/>
    <n v="9"/>
    <n v="4577"/>
  </r>
  <r>
    <x v="15"/>
    <x v="24"/>
    <x v="1"/>
    <n v="7"/>
    <n v="4187"/>
  </r>
  <r>
    <x v="15"/>
    <x v="28"/>
    <x v="1"/>
    <n v="358"/>
    <n v="19322"/>
  </r>
  <r>
    <x v="15"/>
    <x v="29"/>
    <x v="1"/>
    <n v="292"/>
    <n v="14993"/>
  </r>
  <r>
    <x v="15"/>
    <x v="17"/>
    <x v="1"/>
    <n v="45"/>
    <n v="11437"/>
  </r>
  <r>
    <x v="15"/>
    <x v="30"/>
    <x v="1"/>
    <n v="1098"/>
    <n v="35100"/>
  </r>
  <r>
    <x v="15"/>
    <x v="9"/>
    <x v="1"/>
    <n v="2"/>
    <n v="1053"/>
  </r>
  <r>
    <x v="15"/>
    <x v="18"/>
    <x v="1"/>
    <n v="29"/>
    <n v="5336"/>
  </r>
  <r>
    <x v="15"/>
    <x v="12"/>
    <x v="1"/>
    <n v="5"/>
    <n v="681"/>
  </r>
  <r>
    <x v="15"/>
    <x v="19"/>
    <x v="1"/>
    <n v="7"/>
    <n v="9415"/>
  </r>
  <r>
    <x v="15"/>
    <x v="31"/>
    <x v="1"/>
    <n v="102"/>
    <n v="12817"/>
  </r>
  <r>
    <x v="15"/>
    <x v="32"/>
    <x v="1"/>
    <n v="176"/>
    <n v="17830"/>
  </r>
  <r>
    <x v="15"/>
    <x v="33"/>
    <x v="1"/>
    <n v="19"/>
    <n v="27276"/>
  </r>
  <r>
    <x v="15"/>
    <x v="20"/>
    <x v="1"/>
    <n v="34"/>
    <n v="3820"/>
  </r>
  <r>
    <x v="15"/>
    <x v="34"/>
    <x v="1"/>
    <n v="93"/>
    <n v="8312"/>
  </r>
  <r>
    <x v="16"/>
    <x v="25"/>
    <x v="1"/>
    <n v="64"/>
    <n v="7491"/>
  </r>
  <r>
    <x v="16"/>
    <x v="3"/>
    <x v="1"/>
    <n v="10"/>
    <n v="6733"/>
  </r>
  <r>
    <x v="16"/>
    <x v="14"/>
    <x v="1"/>
    <n v="15"/>
    <n v="5012"/>
  </r>
  <r>
    <x v="16"/>
    <x v="15"/>
    <x v="1"/>
    <n v="19"/>
    <n v="1903"/>
  </r>
  <r>
    <x v="16"/>
    <x v="4"/>
    <x v="1"/>
    <n v="35"/>
    <n v="3974"/>
  </r>
  <r>
    <x v="16"/>
    <x v="16"/>
    <x v="1"/>
    <n v="443"/>
    <n v="16315"/>
  </r>
  <r>
    <x v="16"/>
    <x v="26"/>
    <x v="1"/>
    <n v="44"/>
    <n v="2364"/>
  </r>
  <r>
    <x v="16"/>
    <x v="27"/>
    <x v="1"/>
    <n v="230"/>
    <n v="23571"/>
  </r>
  <r>
    <x v="16"/>
    <x v="23"/>
    <x v="1"/>
    <n v="163"/>
    <n v="18545"/>
  </r>
  <r>
    <x v="16"/>
    <x v="21"/>
    <x v="1"/>
    <n v="2"/>
    <n v="3517"/>
  </r>
  <r>
    <x v="16"/>
    <x v="6"/>
    <x v="1"/>
    <n v="3"/>
    <n v="4299"/>
  </r>
  <r>
    <x v="16"/>
    <x v="24"/>
    <x v="1"/>
    <n v="15"/>
    <n v="4040"/>
  </r>
  <r>
    <x v="16"/>
    <x v="28"/>
    <x v="1"/>
    <n v="363"/>
    <n v="23924"/>
  </r>
  <r>
    <x v="16"/>
    <x v="29"/>
    <x v="1"/>
    <n v="342"/>
    <n v="21051"/>
  </r>
  <r>
    <x v="16"/>
    <x v="7"/>
    <x v="1"/>
    <n v="9"/>
    <n v="269"/>
  </r>
  <r>
    <x v="16"/>
    <x v="17"/>
    <x v="1"/>
    <n v="72"/>
    <n v="15953"/>
  </r>
  <r>
    <x v="16"/>
    <x v="30"/>
    <x v="1"/>
    <n v="992"/>
    <n v="40173"/>
  </r>
  <r>
    <x v="16"/>
    <x v="18"/>
    <x v="1"/>
    <n v="43"/>
    <n v="5716"/>
  </r>
  <r>
    <x v="16"/>
    <x v="12"/>
    <x v="1"/>
    <n v="4"/>
    <n v="758"/>
  </r>
  <r>
    <x v="16"/>
    <x v="19"/>
    <x v="1"/>
    <n v="3"/>
    <n v="9913"/>
  </r>
  <r>
    <x v="16"/>
    <x v="31"/>
    <x v="1"/>
    <n v="145"/>
    <n v="12578"/>
  </r>
  <r>
    <x v="16"/>
    <x v="32"/>
    <x v="1"/>
    <n v="182"/>
    <n v="20944"/>
  </r>
  <r>
    <x v="16"/>
    <x v="33"/>
    <x v="1"/>
    <n v="15"/>
    <n v="25778"/>
  </r>
  <r>
    <x v="16"/>
    <x v="20"/>
    <x v="1"/>
    <n v="34"/>
    <n v="3599"/>
  </r>
  <r>
    <x v="16"/>
    <x v="34"/>
    <x v="1"/>
    <n v="110"/>
    <n v="9228"/>
  </r>
  <r>
    <x v="17"/>
    <x v="25"/>
    <x v="1"/>
    <n v="61"/>
    <n v="8003"/>
  </r>
  <r>
    <x v="17"/>
    <x v="3"/>
    <x v="1"/>
    <n v="13"/>
    <n v="8690"/>
  </r>
  <r>
    <x v="17"/>
    <x v="14"/>
    <x v="1"/>
    <n v="14"/>
    <n v="5315"/>
  </r>
  <r>
    <x v="17"/>
    <x v="15"/>
    <x v="1"/>
    <n v="26"/>
    <n v="2119"/>
  </r>
  <r>
    <x v="17"/>
    <x v="4"/>
    <x v="1"/>
    <n v="50"/>
    <n v="3978"/>
  </r>
  <r>
    <x v="17"/>
    <x v="16"/>
    <x v="1"/>
    <n v="471"/>
    <n v="14076"/>
  </r>
  <r>
    <x v="17"/>
    <x v="26"/>
    <x v="1"/>
    <n v="42"/>
    <n v="1687"/>
  </r>
  <r>
    <x v="17"/>
    <x v="27"/>
    <x v="1"/>
    <n v="299"/>
    <n v="25102"/>
  </r>
  <r>
    <x v="17"/>
    <x v="23"/>
    <x v="1"/>
    <n v="49"/>
    <n v="14140"/>
  </r>
  <r>
    <x v="17"/>
    <x v="21"/>
    <x v="1"/>
    <n v="4"/>
    <n v="2815"/>
  </r>
  <r>
    <x v="17"/>
    <x v="6"/>
    <x v="1"/>
    <n v="4"/>
    <n v="4432"/>
  </r>
  <r>
    <x v="17"/>
    <x v="24"/>
    <x v="1"/>
    <n v="31"/>
    <n v="4183"/>
  </r>
  <r>
    <x v="17"/>
    <x v="28"/>
    <x v="1"/>
    <n v="493"/>
    <n v="25136"/>
  </r>
  <r>
    <x v="17"/>
    <x v="29"/>
    <x v="1"/>
    <n v="397"/>
    <n v="19551"/>
  </r>
  <r>
    <x v="17"/>
    <x v="17"/>
    <x v="1"/>
    <n v="61"/>
    <n v="11080"/>
  </r>
  <r>
    <x v="17"/>
    <x v="30"/>
    <x v="1"/>
    <n v="939"/>
    <n v="33643"/>
  </r>
  <r>
    <x v="17"/>
    <x v="9"/>
    <x v="1"/>
    <n v="2"/>
    <n v="1047"/>
  </r>
  <r>
    <x v="17"/>
    <x v="18"/>
    <x v="1"/>
    <n v="40"/>
    <n v="5941"/>
  </r>
  <r>
    <x v="17"/>
    <x v="12"/>
    <x v="1"/>
    <n v="2"/>
    <n v="858"/>
  </r>
  <r>
    <x v="17"/>
    <x v="19"/>
    <x v="1"/>
    <n v="4"/>
    <n v="8968"/>
  </r>
  <r>
    <x v="17"/>
    <x v="31"/>
    <x v="1"/>
    <n v="150"/>
    <n v="12513"/>
  </r>
  <r>
    <x v="17"/>
    <x v="32"/>
    <x v="1"/>
    <n v="218"/>
    <n v="21233"/>
  </r>
  <r>
    <x v="17"/>
    <x v="33"/>
    <x v="1"/>
    <n v="23"/>
    <n v="22777"/>
  </r>
  <r>
    <x v="17"/>
    <x v="20"/>
    <x v="1"/>
    <n v="29"/>
    <n v="3066"/>
  </r>
  <r>
    <x v="17"/>
    <x v="34"/>
    <x v="1"/>
    <n v="123"/>
    <n v="11473"/>
  </r>
  <r>
    <x v="18"/>
    <x v="25"/>
    <x v="1"/>
    <n v="57"/>
    <n v="8075"/>
  </r>
  <r>
    <x v="18"/>
    <x v="3"/>
    <x v="1"/>
    <n v="11"/>
    <n v="7529"/>
  </r>
  <r>
    <x v="18"/>
    <x v="14"/>
    <x v="1"/>
    <n v="19"/>
    <n v="7888"/>
  </r>
  <r>
    <x v="18"/>
    <x v="15"/>
    <x v="1"/>
    <n v="16"/>
    <n v="2422"/>
  </r>
  <r>
    <x v="18"/>
    <x v="4"/>
    <x v="1"/>
    <n v="51"/>
    <n v="7365"/>
  </r>
  <r>
    <x v="18"/>
    <x v="5"/>
    <x v="1"/>
    <n v="2"/>
    <n v="432"/>
  </r>
  <r>
    <x v="18"/>
    <x v="16"/>
    <x v="1"/>
    <n v="633"/>
    <n v="18613"/>
  </r>
  <r>
    <x v="18"/>
    <x v="26"/>
    <x v="1"/>
    <n v="40"/>
    <n v="2230"/>
  </r>
  <r>
    <x v="18"/>
    <x v="27"/>
    <x v="1"/>
    <n v="189"/>
    <n v="31456"/>
  </r>
  <r>
    <x v="18"/>
    <x v="23"/>
    <x v="1"/>
    <n v="39"/>
    <n v="21475"/>
  </r>
  <r>
    <x v="18"/>
    <x v="21"/>
    <x v="1"/>
    <n v="2"/>
    <n v="3447"/>
  </r>
  <r>
    <x v="18"/>
    <x v="6"/>
    <x v="1"/>
    <n v="8"/>
    <n v="4556"/>
  </r>
  <r>
    <x v="18"/>
    <x v="24"/>
    <x v="1"/>
    <n v="22"/>
    <n v="6208"/>
  </r>
  <r>
    <x v="18"/>
    <x v="28"/>
    <x v="1"/>
    <n v="563"/>
    <n v="26091"/>
  </r>
  <r>
    <x v="18"/>
    <x v="29"/>
    <x v="1"/>
    <n v="419"/>
    <n v="16857"/>
  </r>
  <r>
    <x v="18"/>
    <x v="17"/>
    <x v="1"/>
    <n v="63"/>
    <n v="22052"/>
  </r>
  <r>
    <x v="18"/>
    <x v="30"/>
    <x v="1"/>
    <n v="1174"/>
    <n v="51561"/>
  </r>
  <r>
    <x v="18"/>
    <x v="18"/>
    <x v="1"/>
    <n v="43"/>
    <n v="6848"/>
  </r>
  <r>
    <x v="18"/>
    <x v="12"/>
    <x v="1"/>
    <n v="4"/>
    <n v="754"/>
  </r>
  <r>
    <x v="18"/>
    <x v="19"/>
    <x v="1"/>
    <n v="3"/>
    <n v="10552"/>
  </r>
  <r>
    <x v="18"/>
    <x v="31"/>
    <x v="1"/>
    <n v="204"/>
    <n v="22678"/>
  </r>
  <r>
    <x v="18"/>
    <x v="32"/>
    <x v="1"/>
    <n v="184"/>
    <n v="18425"/>
  </r>
  <r>
    <x v="18"/>
    <x v="33"/>
    <x v="1"/>
    <n v="21"/>
    <n v="42577"/>
  </r>
  <r>
    <x v="18"/>
    <x v="20"/>
    <x v="1"/>
    <n v="50"/>
    <n v="5163"/>
  </r>
  <r>
    <x v="18"/>
    <x v="34"/>
    <x v="1"/>
    <n v="94"/>
    <n v="6483"/>
  </r>
  <r>
    <x v="19"/>
    <x v="25"/>
    <x v="1"/>
    <n v="95"/>
    <n v="6272"/>
  </r>
  <r>
    <x v="19"/>
    <x v="3"/>
    <x v="1"/>
    <n v="10"/>
    <n v="7676"/>
  </r>
  <r>
    <x v="19"/>
    <x v="14"/>
    <x v="1"/>
    <n v="6"/>
    <n v="6295"/>
  </r>
  <r>
    <x v="19"/>
    <x v="15"/>
    <x v="1"/>
    <n v="61"/>
    <n v="2279"/>
  </r>
  <r>
    <x v="19"/>
    <x v="4"/>
    <x v="1"/>
    <n v="33"/>
    <n v="3846"/>
  </r>
  <r>
    <x v="19"/>
    <x v="5"/>
    <x v="1"/>
    <n v="2"/>
    <n v="455"/>
  </r>
  <r>
    <x v="19"/>
    <x v="16"/>
    <x v="1"/>
    <n v="483"/>
    <n v="15949"/>
  </r>
  <r>
    <x v="19"/>
    <x v="26"/>
    <x v="1"/>
    <n v="26"/>
    <n v="1797"/>
  </r>
  <r>
    <x v="19"/>
    <x v="27"/>
    <x v="1"/>
    <n v="374"/>
    <n v="36212"/>
  </r>
  <r>
    <x v="19"/>
    <x v="23"/>
    <x v="1"/>
    <n v="133"/>
    <n v="21202"/>
  </r>
  <r>
    <x v="19"/>
    <x v="21"/>
    <x v="1"/>
    <n v="2"/>
    <n v="5135"/>
  </r>
  <r>
    <x v="19"/>
    <x v="24"/>
    <x v="1"/>
    <n v="15"/>
    <n v="4657"/>
  </r>
  <r>
    <x v="19"/>
    <x v="28"/>
    <x v="1"/>
    <n v="564"/>
    <n v="23618"/>
  </r>
  <r>
    <x v="19"/>
    <x v="29"/>
    <x v="1"/>
    <n v="325"/>
    <n v="15267"/>
  </r>
  <r>
    <x v="19"/>
    <x v="17"/>
    <x v="1"/>
    <n v="54"/>
    <n v="10575"/>
  </r>
  <r>
    <x v="19"/>
    <x v="30"/>
    <x v="1"/>
    <n v="1144"/>
    <n v="35215"/>
  </r>
  <r>
    <x v="19"/>
    <x v="18"/>
    <x v="1"/>
    <n v="53"/>
    <n v="5833"/>
  </r>
  <r>
    <x v="19"/>
    <x v="12"/>
    <x v="1"/>
    <n v="9"/>
    <n v="782"/>
  </r>
  <r>
    <x v="19"/>
    <x v="31"/>
    <x v="1"/>
    <n v="113"/>
    <n v="15252"/>
  </r>
  <r>
    <x v="19"/>
    <x v="32"/>
    <x v="1"/>
    <n v="311"/>
    <n v="20180"/>
  </r>
  <r>
    <x v="19"/>
    <x v="33"/>
    <x v="1"/>
    <n v="11"/>
    <n v="31886"/>
  </r>
  <r>
    <x v="19"/>
    <x v="20"/>
    <x v="1"/>
    <n v="31"/>
    <n v="5199"/>
  </r>
  <r>
    <x v="19"/>
    <x v="34"/>
    <x v="1"/>
    <n v="121"/>
    <n v="10465"/>
  </r>
  <r>
    <x v="20"/>
    <x v="1"/>
    <x v="1"/>
    <n v="3"/>
    <n v="229"/>
  </r>
  <r>
    <x v="20"/>
    <x v="25"/>
    <x v="1"/>
    <n v="120"/>
    <n v="6769"/>
  </r>
  <r>
    <x v="20"/>
    <x v="3"/>
    <x v="1"/>
    <n v="4"/>
    <n v="8441"/>
  </r>
  <r>
    <x v="20"/>
    <x v="14"/>
    <x v="1"/>
    <n v="5"/>
    <n v="4752"/>
  </r>
  <r>
    <x v="20"/>
    <x v="15"/>
    <x v="1"/>
    <n v="46"/>
    <n v="2261"/>
  </r>
  <r>
    <x v="20"/>
    <x v="4"/>
    <x v="1"/>
    <n v="40"/>
    <n v="3887"/>
  </r>
  <r>
    <x v="20"/>
    <x v="5"/>
    <x v="1"/>
    <n v="2"/>
    <n v="365"/>
  </r>
  <r>
    <x v="20"/>
    <x v="16"/>
    <x v="1"/>
    <n v="791"/>
    <n v="15492"/>
  </r>
  <r>
    <x v="20"/>
    <x v="26"/>
    <x v="1"/>
    <n v="30"/>
    <n v="1744"/>
  </r>
  <r>
    <x v="20"/>
    <x v="27"/>
    <x v="1"/>
    <n v="260"/>
    <n v="27614"/>
  </r>
  <r>
    <x v="20"/>
    <x v="23"/>
    <x v="1"/>
    <n v="177"/>
    <n v="18223"/>
  </r>
  <r>
    <x v="20"/>
    <x v="21"/>
    <x v="1"/>
    <n v="7"/>
    <n v="4026"/>
  </r>
  <r>
    <x v="20"/>
    <x v="6"/>
    <x v="1"/>
    <n v="4"/>
    <n v="5304"/>
  </r>
  <r>
    <x v="20"/>
    <x v="24"/>
    <x v="1"/>
    <n v="22"/>
    <n v="3979"/>
  </r>
  <r>
    <x v="20"/>
    <x v="28"/>
    <x v="1"/>
    <n v="438"/>
    <n v="22142"/>
  </r>
  <r>
    <x v="20"/>
    <x v="29"/>
    <x v="1"/>
    <n v="298"/>
    <n v="16601"/>
  </r>
  <r>
    <x v="20"/>
    <x v="17"/>
    <x v="1"/>
    <n v="35"/>
    <n v="11124"/>
  </r>
  <r>
    <x v="20"/>
    <x v="30"/>
    <x v="1"/>
    <n v="887"/>
    <n v="32422"/>
  </r>
  <r>
    <x v="20"/>
    <x v="18"/>
    <x v="1"/>
    <n v="42"/>
    <n v="6616"/>
  </r>
  <r>
    <x v="20"/>
    <x v="12"/>
    <x v="1"/>
    <n v="4"/>
    <n v="690"/>
  </r>
  <r>
    <x v="20"/>
    <x v="31"/>
    <x v="1"/>
    <n v="110"/>
    <n v="12634"/>
  </r>
  <r>
    <x v="20"/>
    <x v="32"/>
    <x v="1"/>
    <n v="406"/>
    <n v="20201"/>
  </r>
  <r>
    <x v="20"/>
    <x v="33"/>
    <x v="1"/>
    <n v="13"/>
    <n v="27230"/>
  </r>
  <r>
    <x v="20"/>
    <x v="20"/>
    <x v="1"/>
    <n v="24"/>
    <n v="3881"/>
  </r>
  <r>
    <x v="20"/>
    <x v="34"/>
    <x v="1"/>
    <n v="65"/>
    <n v="8047"/>
  </r>
  <r>
    <x v="21"/>
    <x v="25"/>
    <x v="1"/>
    <n v="121"/>
    <n v="10775"/>
  </r>
  <r>
    <x v="21"/>
    <x v="3"/>
    <x v="1"/>
    <n v="5"/>
    <n v="7240"/>
  </r>
  <r>
    <x v="21"/>
    <x v="14"/>
    <x v="1"/>
    <n v="19"/>
    <n v="6600"/>
  </r>
  <r>
    <x v="21"/>
    <x v="15"/>
    <x v="1"/>
    <n v="50"/>
    <n v="2500"/>
  </r>
  <r>
    <x v="21"/>
    <x v="4"/>
    <x v="1"/>
    <n v="56"/>
    <n v="4880"/>
  </r>
  <r>
    <x v="21"/>
    <x v="16"/>
    <x v="1"/>
    <n v="331"/>
    <n v="17993"/>
  </r>
  <r>
    <x v="21"/>
    <x v="26"/>
    <x v="1"/>
    <n v="44"/>
    <n v="1888"/>
  </r>
  <r>
    <x v="21"/>
    <x v="27"/>
    <x v="1"/>
    <n v="212"/>
    <n v="25859"/>
  </r>
  <r>
    <x v="21"/>
    <x v="23"/>
    <x v="1"/>
    <n v="141"/>
    <n v="25164"/>
  </r>
  <r>
    <x v="21"/>
    <x v="21"/>
    <x v="1"/>
    <n v="5"/>
    <n v="4192"/>
  </r>
  <r>
    <x v="21"/>
    <x v="6"/>
    <x v="1"/>
    <n v="4"/>
    <n v="4245"/>
  </r>
  <r>
    <x v="21"/>
    <x v="24"/>
    <x v="1"/>
    <n v="41"/>
    <n v="5016"/>
  </r>
  <r>
    <x v="21"/>
    <x v="28"/>
    <x v="1"/>
    <n v="587"/>
    <n v="26011"/>
  </r>
  <r>
    <x v="21"/>
    <x v="29"/>
    <x v="1"/>
    <n v="344"/>
    <n v="17267"/>
  </r>
  <r>
    <x v="21"/>
    <x v="17"/>
    <x v="1"/>
    <n v="69"/>
    <n v="17945"/>
  </r>
  <r>
    <x v="21"/>
    <x v="30"/>
    <x v="1"/>
    <n v="827"/>
    <n v="44349"/>
  </r>
  <r>
    <x v="21"/>
    <x v="8"/>
    <x v="1"/>
    <n v="3"/>
    <n v="892"/>
  </r>
  <r>
    <x v="21"/>
    <x v="18"/>
    <x v="1"/>
    <n v="51"/>
    <n v="6278"/>
  </r>
  <r>
    <x v="21"/>
    <x v="12"/>
    <x v="1"/>
    <n v="3"/>
    <n v="1004"/>
  </r>
  <r>
    <x v="21"/>
    <x v="31"/>
    <x v="1"/>
    <n v="155"/>
    <n v="18017"/>
  </r>
  <r>
    <x v="21"/>
    <x v="32"/>
    <x v="1"/>
    <n v="202"/>
    <n v="24430"/>
  </r>
  <r>
    <x v="21"/>
    <x v="33"/>
    <x v="1"/>
    <n v="26"/>
    <n v="41439"/>
  </r>
  <r>
    <x v="21"/>
    <x v="20"/>
    <x v="1"/>
    <n v="16"/>
    <n v="5040"/>
  </r>
  <r>
    <x v="21"/>
    <x v="34"/>
    <x v="1"/>
    <n v="124"/>
    <n v="9141"/>
  </r>
  <r>
    <x v="22"/>
    <x v="25"/>
    <x v="1"/>
    <n v="116"/>
    <n v="6628"/>
  </r>
  <r>
    <x v="22"/>
    <x v="3"/>
    <x v="1"/>
    <n v="13"/>
    <n v="7029"/>
  </r>
  <r>
    <x v="22"/>
    <x v="14"/>
    <x v="1"/>
    <n v="46"/>
    <n v="6117"/>
  </r>
  <r>
    <x v="22"/>
    <x v="15"/>
    <x v="1"/>
    <n v="59"/>
    <n v="2061"/>
  </r>
  <r>
    <x v="22"/>
    <x v="4"/>
    <x v="1"/>
    <n v="73"/>
    <n v="4196"/>
  </r>
  <r>
    <x v="22"/>
    <x v="5"/>
    <x v="1"/>
    <n v="3"/>
    <n v="411"/>
  </r>
  <r>
    <x v="22"/>
    <x v="16"/>
    <x v="1"/>
    <n v="510"/>
    <n v="14823"/>
  </r>
  <r>
    <x v="22"/>
    <x v="26"/>
    <x v="1"/>
    <n v="83"/>
    <n v="1760"/>
  </r>
  <r>
    <x v="22"/>
    <x v="27"/>
    <x v="1"/>
    <n v="271"/>
    <n v="28856"/>
  </r>
  <r>
    <x v="22"/>
    <x v="23"/>
    <x v="1"/>
    <n v="175"/>
    <n v="19656"/>
  </r>
  <r>
    <x v="22"/>
    <x v="21"/>
    <x v="1"/>
    <n v="21"/>
    <n v="3952"/>
  </r>
  <r>
    <x v="22"/>
    <x v="6"/>
    <x v="1"/>
    <n v="8"/>
    <n v="4449"/>
  </r>
  <r>
    <x v="22"/>
    <x v="24"/>
    <x v="1"/>
    <n v="33"/>
    <n v="4234"/>
  </r>
  <r>
    <x v="22"/>
    <x v="28"/>
    <x v="1"/>
    <n v="616"/>
    <n v="21837"/>
  </r>
  <r>
    <x v="22"/>
    <x v="29"/>
    <x v="1"/>
    <n v="662"/>
    <n v="14603"/>
  </r>
  <r>
    <x v="22"/>
    <x v="17"/>
    <x v="1"/>
    <n v="144"/>
    <n v="17295"/>
  </r>
  <r>
    <x v="22"/>
    <x v="30"/>
    <x v="1"/>
    <n v="1012"/>
    <n v="30727"/>
  </r>
  <r>
    <x v="22"/>
    <x v="8"/>
    <x v="1"/>
    <n v="5"/>
    <n v="756"/>
  </r>
  <r>
    <x v="22"/>
    <x v="18"/>
    <x v="1"/>
    <n v="60"/>
    <n v="5397"/>
  </r>
  <r>
    <x v="22"/>
    <x v="12"/>
    <x v="1"/>
    <n v="3"/>
    <n v="703"/>
  </r>
  <r>
    <x v="22"/>
    <x v="19"/>
    <x v="1"/>
    <n v="18"/>
    <n v="11765"/>
  </r>
  <r>
    <x v="22"/>
    <x v="31"/>
    <x v="1"/>
    <n v="293"/>
    <n v="15819"/>
  </r>
  <r>
    <x v="22"/>
    <x v="32"/>
    <x v="1"/>
    <n v="307"/>
    <n v="18758"/>
  </r>
  <r>
    <x v="22"/>
    <x v="33"/>
    <x v="1"/>
    <n v="60"/>
    <n v="32464"/>
  </r>
  <r>
    <x v="22"/>
    <x v="20"/>
    <x v="1"/>
    <n v="23"/>
    <n v="3985"/>
  </r>
  <r>
    <x v="22"/>
    <x v="34"/>
    <x v="1"/>
    <n v="142"/>
    <n v="8054"/>
  </r>
  <r>
    <x v="23"/>
    <x v="25"/>
    <x v="1"/>
    <n v="173"/>
    <n v="7764"/>
  </r>
  <r>
    <x v="23"/>
    <x v="3"/>
    <x v="1"/>
    <n v="20"/>
    <n v="8324"/>
  </r>
  <r>
    <x v="23"/>
    <x v="14"/>
    <x v="1"/>
    <n v="47"/>
    <n v="6322"/>
  </r>
  <r>
    <x v="23"/>
    <x v="15"/>
    <x v="1"/>
    <n v="131"/>
    <n v="2589"/>
  </r>
  <r>
    <x v="23"/>
    <x v="4"/>
    <x v="1"/>
    <n v="95"/>
    <n v="5119"/>
  </r>
  <r>
    <x v="23"/>
    <x v="5"/>
    <x v="1"/>
    <n v="2"/>
    <n v="485"/>
  </r>
  <r>
    <x v="23"/>
    <x v="16"/>
    <x v="1"/>
    <n v="1544"/>
    <n v="18638"/>
  </r>
  <r>
    <x v="23"/>
    <x v="26"/>
    <x v="1"/>
    <n v="112"/>
    <n v="2439"/>
  </r>
  <r>
    <x v="23"/>
    <x v="27"/>
    <x v="1"/>
    <n v="498"/>
    <n v="26082"/>
  </r>
  <r>
    <x v="23"/>
    <x v="23"/>
    <x v="1"/>
    <n v="477"/>
    <n v="21547"/>
  </r>
  <r>
    <x v="23"/>
    <x v="21"/>
    <x v="1"/>
    <n v="7"/>
    <n v="3574"/>
  </r>
  <r>
    <x v="23"/>
    <x v="6"/>
    <x v="1"/>
    <n v="17"/>
    <n v="5388"/>
  </r>
  <r>
    <x v="23"/>
    <x v="24"/>
    <x v="1"/>
    <n v="52"/>
    <n v="4670"/>
  </r>
  <r>
    <x v="23"/>
    <x v="28"/>
    <x v="1"/>
    <n v="1062"/>
    <n v="28169"/>
  </r>
  <r>
    <x v="23"/>
    <x v="29"/>
    <x v="1"/>
    <n v="1107"/>
    <n v="24727"/>
  </r>
  <r>
    <x v="23"/>
    <x v="17"/>
    <x v="1"/>
    <n v="159"/>
    <n v="14745"/>
  </r>
  <r>
    <x v="23"/>
    <x v="30"/>
    <x v="1"/>
    <n v="1389"/>
    <n v="42854"/>
  </r>
  <r>
    <x v="23"/>
    <x v="18"/>
    <x v="1"/>
    <n v="74"/>
    <n v="6358"/>
  </r>
  <r>
    <x v="23"/>
    <x v="12"/>
    <x v="1"/>
    <n v="4"/>
    <n v="999"/>
  </r>
  <r>
    <x v="23"/>
    <x v="19"/>
    <x v="1"/>
    <n v="13"/>
    <n v="12430"/>
  </r>
  <r>
    <x v="23"/>
    <x v="31"/>
    <x v="1"/>
    <n v="425"/>
    <n v="18370"/>
  </r>
  <r>
    <x v="23"/>
    <x v="32"/>
    <x v="1"/>
    <n v="571"/>
    <n v="22131"/>
  </r>
  <r>
    <x v="23"/>
    <x v="13"/>
    <x v="1"/>
    <n v="9"/>
    <n v="329"/>
  </r>
  <r>
    <x v="23"/>
    <x v="33"/>
    <x v="1"/>
    <n v="431"/>
    <n v="34186"/>
  </r>
  <r>
    <x v="23"/>
    <x v="20"/>
    <x v="1"/>
    <n v="48"/>
    <n v="4596"/>
  </r>
  <r>
    <x v="23"/>
    <x v="34"/>
    <x v="1"/>
    <n v="352"/>
    <n v="8955"/>
  </r>
  <r>
    <x v="24"/>
    <x v="25"/>
    <x v="1"/>
    <n v="225"/>
    <n v="7229"/>
  </r>
  <r>
    <x v="24"/>
    <x v="3"/>
    <x v="1"/>
    <n v="20"/>
    <n v="7022"/>
  </r>
  <r>
    <x v="24"/>
    <x v="14"/>
    <x v="1"/>
    <n v="40"/>
    <n v="5840"/>
  </r>
  <r>
    <x v="24"/>
    <x v="15"/>
    <x v="1"/>
    <n v="62"/>
    <n v="2482"/>
  </r>
  <r>
    <x v="24"/>
    <x v="4"/>
    <x v="1"/>
    <n v="93"/>
    <n v="5558"/>
  </r>
  <r>
    <x v="24"/>
    <x v="16"/>
    <x v="1"/>
    <n v="551"/>
    <n v="14861"/>
  </r>
  <r>
    <x v="24"/>
    <x v="26"/>
    <x v="1"/>
    <n v="57"/>
    <n v="1633"/>
  </r>
  <r>
    <x v="24"/>
    <x v="27"/>
    <x v="1"/>
    <n v="537"/>
    <n v="28451"/>
  </r>
  <r>
    <x v="24"/>
    <x v="23"/>
    <x v="1"/>
    <n v="363"/>
    <n v="21914"/>
  </r>
  <r>
    <x v="24"/>
    <x v="21"/>
    <x v="1"/>
    <n v="9"/>
    <n v="3880"/>
  </r>
  <r>
    <x v="24"/>
    <x v="6"/>
    <x v="1"/>
    <n v="4"/>
    <n v="3728"/>
  </r>
  <r>
    <x v="24"/>
    <x v="24"/>
    <x v="1"/>
    <n v="39"/>
    <n v="4281"/>
  </r>
  <r>
    <x v="24"/>
    <x v="28"/>
    <x v="1"/>
    <n v="762"/>
    <n v="22368"/>
  </r>
  <r>
    <x v="24"/>
    <x v="29"/>
    <x v="1"/>
    <n v="637"/>
    <n v="9171"/>
  </r>
  <r>
    <x v="24"/>
    <x v="17"/>
    <x v="1"/>
    <n v="95"/>
    <n v="10894"/>
  </r>
  <r>
    <x v="24"/>
    <x v="30"/>
    <x v="1"/>
    <n v="1139"/>
    <n v="35336"/>
  </r>
  <r>
    <x v="24"/>
    <x v="9"/>
    <x v="1"/>
    <n v="2"/>
    <n v="1094"/>
  </r>
  <r>
    <x v="24"/>
    <x v="18"/>
    <x v="1"/>
    <n v="84"/>
    <n v="5315"/>
  </r>
  <r>
    <x v="24"/>
    <x v="12"/>
    <x v="1"/>
    <n v="5"/>
    <n v="735"/>
  </r>
  <r>
    <x v="24"/>
    <x v="19"/>
    <x v="1"/>
    <n v="22"/>
    <n v="9734"/>
  </r>
  <r>
    <x v="24"/>
    <x v="31"/>
    <x v="1"/>
    <n v="291"/>
    <n v="14377"/>
  </r>
  <r>
    <x v="24"/>
    <x v="32"/>
    <x v="1"/>
    <n v="399"/>
    <n v="18659"/>
  </r>
  <r>
    <x v="24"/>
    <x v="33"/>
    <x v="1"/>
    <n v="364"/>
    <n v="32143"/>
  </r>
  <r>
    <x v="24"/>
    <x v="20"/>
    <x v="1"/>
    <n v="47"/>
    <n v="4887"/>
  </r>
  <r>
    <x v="24"/>
    <x v="34"/>
    <x v="1"/>
    <n v="152"/>
    <n v="7999"/>
  </r>
  <r>
    <x v="25"/>
    <x v="25"/>
    <x v="1"/>
    <n v="216"/>
    <n v="8095"/>
  </r>
  <r>
    <x v="25"/>
    <x v="3"/>
    <x v="1"/>
    <n v="30"/>
    <n v="6994"/>
  </r>
  <r>
    <x v="25"/>
    <x v="14"/>
    <x v="1"/>
    <n v="46"/>
    <n v="6865"/>
  </r>
  <r>
    <x v="25"/>
    <x v="15"/>
    <x v="1"/>
    <n v="83"/>
    <n v="2556"/>
  </r>
  <r>
    <x v="25"/>
    <x v="4"/>
    <x v="1"/>
    <n v="185"/>
    <n v="3785"/>
  </r>
  <r>
    <x v="25"/>
    <x v="5"/>
    <x v="1"/>
    <n v="4"/>
    <n v="416"/>
  </r>
  <r>
    <x v="25"/>
    <x v="16"/>
    <x v="1"/>
    <n v="787"/>
    <n v="16609"/>
  </r>
  <r>
    <x v="25"/>
    <x v="26"/>
    <x v="1"/>
    <n v="85"/>
    <n v="1878"/>
  </r>
  <r>
    <x v="25"/>
    <x v="27"/>
    <x v="1"/>
    <n v="710"/>
    <n v="25770"/>
  </r>
  <r>
    <x v="25"/>
    <x v="23"/>
    <x v="1"/>
    <n v="211"/>
    <n v="21218"/>
  </r>
  <r>
    <x v="25"/>
    <x v="21"/>
    <x v="1"/>
    <n v="21"/>
    <n v="3565"/>
  </r>
  <r>
    <x v="25"/>
    <x v="6"/>
    <x v="1"/>
    <n v="14"/>
    <n v="5095"/>
  </r>
  <r>
    <x v="25"/>
    <x v="24"/>
    <x v="1"/>
    <n v="37"/>
    <n v="4755"/>
  </r>
  <r>
    <x v="25"/>
    <x v="28"/>
    <x v="1"/>
    <n v="999"/>
    <n v="22601"/>
  </r>
  <r>
    <x v="25"/>
    <x v="29"/>
    <x v="1"/>
    <n v="954"/>
    <n v="14819"/>
  </r>
  <r>
    <x v="25"/>
    <x v="17"/>
    <x v="1"/>
    <n v="136"/>
    <n v="12488"/>
  </r>
  <r>
    <x v="25"/>
    <x v="30"/>
    <x v="1"/>
    <n v="1137"/>
    <n v="35179"/>
  </r>
  <r>
    <x v="25"/>
    <x v="8"/>
    <x v="1"/>
    <n v="4"/>
    <n v="119"/>
  </r>
  <r>
    <x v="25"/>
    <x v="9"/>
    <x v="1"/>
    <n v="2"/>
    <n v="1027"/>
  </r>
  <r>
    <x v="25"/>
    <x v="18"/>
    <x v="1"/>
    <n v="105"/>
    <n v="5951"/>
  </r>
  <r>
    <x v="25"/>
    <x v="12"/>
    <x v="1"/>
    <n v="6"/>
    <n v="943"/>
  </r>
  <r>
    <x v="25"/>
    <x v="19"/>
    <x v="1"/>
    <n v="63"/>
    <n v="11047"/>
  </r>
  <r>
    <x v="25"/>
    <x v="31"/>
    <x v="1"/>
    <n v="419"/>
    <n v="16157"/>
  </r>
  <r>
    <x v="25"/>
    <x v="32"/>
    <x v="1"/>
    <n v="529"/>
    <n v="20789"/>
  </r>
  <r>
    <x v="25"/>
    <x v="13"/>
    <x v="1"/>
    <n v="2"/>
    <n v="436"/>
  </r>
  <r>
    <x v="25"/>
    <x v="33"/>
    <x v="1"/>
    <n v="472"/>
    <n v="34515"/>
  </r>
  <r>
    <x v="25"/>
    <x v="20"/>
    <x v="1"/>
    <n v="61"/>
    <n v="4675"/>
  </r>
  <r>
    <x v="25"/>
    <x v="34"/>
    <x v="1"/>
    <n v="322"/>
    <n v="8672"/>
  </r>
  <r>
    <x v="26"/>
    <x v="25"/>
    <x v="1"/>
    <n v="156"/>
    <n v="6611"/>
  </r>
  <r>
    <x v="26"/>
    <x v="3"/>
    <x v="1"/>
    <n v="28"/>
    <n v="6751"/>
  </r>
  <r>
    <x v="26"/>
    <x v="14"/>
    <x v="1"/>
    <n v="52"/>
    <n v="6134"/>
  </r>
  <r>
    <x v="26"/>
    <x v="15"/>
    <x v="1"/>
    <n v="77"/>
    <n v="2597"/>
  </r>
  <r>
    <x v="26"/>
    <x v="4"/>
    <x v="1"/>
    <n v="114"/>
    <n v="3650"/>
  </r>
  <r>
    <x v="26"/>
    <x v="16"/>
    <x v="1"/>
    <n v="935"/>
    <n v="15723"/>
  </r>
  <r>
    <x v="26"/>
    <x v="26"/>
    <x v="1"/>
    <n v="75"/>
    <n v="1699"/>
  </r>
  <r>
    <x v="26"/>
    <x v="27"/>
    <x v="1"/>
    <n v="698"/>
    <n v="24829"/>
  </r>
  <r>
    <x v="26"/>
    <x v="23"/>
    <x v="1"/>
    <n v="263"/>
    <n v="21135"/>
  </r>
  <r>
    <x v="26"/>
    <x v="21"/>
    <x v="1"/>
    <n v="19"/>
    <n v="3448"/>
  </r>
  <r>
    <x v="26"/>
    <x v="6"/>
    <x v="1"/>
    <n v="18"/>
    <n v="4437"/>
  </r>
  <r>
    <x v="26"/>
    <x v="24"/>
    <x v="1"/>
    <n v="48"/>
    <n v="4320"/>
  </r>
  <r>
    <x v="26"/>
    <x v="28"/>
    <x v="1"/>
    <n v="1142"/>
    <n v="24603"/>
  </r>
  <r>
    <x v="26"/>
    <x v="29"/>
    <x v="1"/>
    <n v="885"/>
    <n v="14389"/>
  </r>
  <r>
    <x v="26"/>
    <x v="17"/>
    <x v="1"/>
    <n v="107"/>
    <n v="10927"/>
  </r>
  <r>
    <x v="26"/>
    <x v="30"/>
    <x v="1"/>
    <n v="1360"/>
    <n v="36069"/>
  </r>
  <r>
    <x v="26"/>
    <x v="9"/>
    <x v="1"/>
    <n v="2"/>
    <n v="950"/>
  </r>
  <r>
    <x v="26"/>
    <x v="18"/>
    <x v="1"/>
    <n v="89"/>
    <n v="5873"/>
  </r>
  <r>
    <x v="26"/>
    <x v="12"/>
    <x v="1"/>
    <n v="8"/>
    <n v="910"/>
  </r>
  <r>
    <x v="26"/>
    <x v="19"/>
    <x v="1"/>
    <n v="76"/>
    <n v="10547"/>
  </r>
  <r>
    <x v="26"/>
    <x v="31"/>
    <x v="1"/>
    <n v="380"/>
    <n v="15534"/>
  </r>
  <r>
    <x v="26"/>
    <x v="32"/>
    <x v="1"/>
    <n v="572"/>
    <n v="22976"/>
  </r>
  <r>
    <x v="26"/>
    <x v="13"/>
    <x v="1"/>
    <n v="2"/>
    <n v="375"/>
  </r>
  <r>
    <x v="26"/>
    <x v="33"/>
    <x v="1"/>
    <n v="393"/>
    <n v="30578"/>
  </r>
  <r>
    <x v="26"/>
    <x v="20"/>
    <x v="1"/>
    <n v="42"/>
    <n v="4393"/>
  </r>
  <r>
    <x v="26"/>
    <x v="34"/>
    <x v="1"/>
    <n v="247"/>
    <n v="8471"/>
  </r>
  <r>
    <x v="27"/>
    <x v="1"/>
    <x v="1"/>
    <n v="3"/>
    <n v="163"/>
  </r>
  <r>
    <x v="27"/>
    <x v="25"/>
    <x v="1"/>
    <n v="157"/>
    <n v="6820"/>
  </r>
  <r>
    <x v="27"/>
    <x v="2"/>
    <x v="1"/>
    <n v="2"/>
    <n v="1069"/>
  </r>
  <r>
    <x v="27"/>
    <x v="3"/>
    <x v="1"/>
    <n v="23"/>
    <n v="7381"/>
  </r>
  <r>
    <x v="27"/>
    <x v="14"/>
    <x v="1"/>
    <n v="58"/>
    <n v="5189"/>
  </r>
  <r>
    <x v="27"/>
    <x v="15"/>
    <x v="1"/>
    <n v="71"/>
    <n v="2326"/>
  </r>
  <r>
    <x v="27"/>
    <x v="4"/>
    <x v="1"/>
    <n v="94"/>
    <n v="3346"/>
  </r>
  <r>
    <x v="27"/>
    <x v="5"/>
    <x v="1"/>
    <n v="4"/>
    <n v="391"/>
  </r>
  <r>
    <x v="27"/>
    <x v="16"/>
    <x v="1"/>
    <n v="831"/>
    <n v="15285"/>
  </r>
  <r>
    <x v="27"/>
    <x v="26"/>
    <x v="1"/>
    <n v="84"/>
    <n v="1739"/>
  </r>
  <r>
    <x v="27"/>
    <x v="27"/>
    <x v="1"/>
    <n v="692"/>
    <n v="27755"/>
  </r>
  <r>
    <x v="27"/>
    <x v="23"/>
    <x v="1"/>
    <n v="92"/>
    <n v="11915"/>
  </r>
  <r>
    <x v="27"/>
    <x v="21"/>
    <x v="1"/>
    <n v="12"/>
    <n v="3956"/>
  </r>
  <r>
    <x v="27"/>
    <x v="6"/>
    <x v="1"/>
    <n v="11"/>
    <n v="4435"/>
  </r>
  <r>
    <x v="27"/>
    <x v="24"/>
    <x v="1"/>
    <n v="31"/>
    <n v="4010"/>
  </r>
  <r>
    <x v="27"/>
    <x v="28"/>
    <x v="1"/>
    <n v="1221"/>
    <n v="23154"/>
  </r>
  <r>
    <x v="27"/>
    <x v="29"/>
    <x v="1"/>
    <n v="871"/>
    <n v="14002"/>
  </r>
  <r>
    <x v="27"/>
    <x v="17"/>
    <x v="1"/>
    <n v="138"/>
    <n v="10811"/>
  </r>
  <r>
    <x v="27"/>
    <x v="30"/>
    <x v="1"/>
    <n v="1103"/>
    <n v="36082"/>
  </r>
  <r>
    <x v="27"/>
    <x v="8"/>
    <x v="1"/>
    <n v="6"/>
    <n v="427"/>
  </r>
  <r>
    <x v="27"/>
    <x v="9"/>
    <x v="1"/>
    <n v="3"/>
    <n v="1030"/>
  </r>
  <r>
    <x v="27"/>
    <x v="18"/>
    <x v="1"/>
    <n v="134"/>
    <n v="5745"/>
  </r>
  <r>
    <x v="27"/>
    <x v="12"/>
    <x v="1"/>
    <n v="7"/>
    <n v="809"/>
  </r>
  <r>
    <x v="27"/>
    <x v="19"/>
    <x v="1"/>
    <n v="92"/>
    <n v="10766"/>
  </r>
  <r>
    <x v="27"/>
    <x v="31"/>
    <x v="1"/>
    <n v="405"/>
    <n v="14064"/>
  </r>
  <r>
    <x v="27"/>
    <x v="32"/>
    <x v="1"/>
    <n v="630"/>
    <n v="20553"/>
  </r>
  <r>
    <x v="27"/>
    <x v="13"/>
    <x v="1"/>
    <n v="2"/>
    <n v="578"/>
  </r>
  <r>
    <x v="27"/>
    <x v="33"/>
    <x v="1"/>
    <n v="420"/>
    <n v="29214"/>
  </r>
  <r>
    <x v="27"/>
    <x v="20"/>
    <x v="1"/>
    <n v="53"/>
    <n v="4216"/>
  </r>
  <r>
    <x v="27"/>
    <x v="34"/>
    <x v="1"/>
    <n v="179"/>
    <n v="8111"/>
  </r>
  <r>
    <x v="28"/>
    <x v="1"/>
    <x v="1"/>
    <n v="3"/>
    <n v="183"/>
  </r>
  <r>
    <x v="28"/>
    <x v="25"/>
    <x v="1"/>
    <n v="104"/>
    <n v="7397"/>
  </r>
  <r>
    <x v="28"/>
    <x v="2"/>
    <x v="1"/>
    <n v="4"/>
    <n v="1121"/>
  </r>
  <r>
    <x v="28"/>
    <x v="3"/>
    <x v="1"/>
    <n v="27"/>
    <n v="7557"/>
  </r>
  <r>
    <x v="28"/>
    <x v="14"/>
    <x v="1"/>
    <n v="53"/>
    <n v="5334"/>
  </r>
  <r>
    <x v="28"/>
    <x v="15"/>
    <x v="1"/>
    <n v="80"/>
    <n v="1937"/>
  </r>
  <r>
    <x v="28"/>
    <x v="4"/>
    <x v="1"/>
    <n v="107"/>
    <n v="3859"/>
  </r>
  <r>
    <x v="28"/>
    <x v="16"/>
    <x v="1"/>
    <n v="440"/>
    <n v="15852"/>
  </r>
  <r>
    <x v="28"/>
    <x v="26"/>
    <x v="1"/>
    <n v="98"/>
    <n v="2177"/>
  </r>
  <r>
    <x v="28"/>
    <x v="27"/>
    <x v="1"/>
    <n v="512"/>
    <n v="25572"/>
  </r>
  <r>
    <x v="28"/>
    <x v="23"/>
    <x v="1"/>
    <n v="189"/>
    <n v="24414"/>
  </r>
  <r>
    <x v="28"/>
    <x v="21"/>
    <x v="1"/>
    <n v="11"/>
    <n v="3975"/>
  </r>
  <r>
    <x v="28"/>
    <x v="6"/>
    <x v="1"/>
    <n v="15"/>
    <n v="4843"/>
  </r>
  <r>
    <x v="28"/>
    <x v="24"/>
    <x v="1"/>
    <n v="52"/>
    <n v="4040"/>
  </r>
  <r>
    <x v="28"/>
    <x v="28"/>
    <x v="1"/>
    <n v="1196"/>
    <n v="28235"/>
  </r>
  <r>
    <x v="28"/>
    <x v="29"/>
    <x v="1"/>
    <n v="736"/>
    <n v="18189"/>
  </r>
  <r>
    <x v="28"/>
    <x v="17"/>
    <x v="1"/>
    <n v="112"/>
    <n v="11479"/>
  </r>
  <r>
    <x v="28"/>
    <x v="30"/>
    <x v="1"/>
    <n v="1070"/>
    <n v="40169"/>
  </r>
  <r>
    <x v="28"/>
    <x v="8"/>
    <x v="1"/>
    <n v="6"/>
    <n v="458"/>
  </r>
  <r>
    <x v="28"/>
    <x v="9"/>
    <x v="1"/>
    <n v="3"/>
    <n v="1215"/>
  </r>
  <r>
    <x v="28"/>
    <x v="18"/>
    <x v="1"/>
    <n v="146"/>
    <n v="6282"/>
  </r>
  <r>
    <x v="28"/>
    <x v="12"/>
    <x v="1"/>
    <n v="14"/>
    <n v="955"/>
  </r>
  <r>
    <x v="28"/>
    <x v="19"/>
    <x v="1"/>
    <n v="75"/>
    <n v="11493"/>
  </r>
  <r>
    <x v="28"/>
    <x v="31"/>
    <x v="1"/>
    <n v="396"/>
    <n v="14786"/>
  </r>
  <r>
    <x v="28"/>
    <x v="32"/>
    <x v="1"/>
    <n v="591"/>
    <n v="23537"/>
  </r>
  <r>
    <x v="28"/>
    <x v="13"/>
    <x v="1"/>
    <n v="2"/>
    <n v="466"/>
  </r>
  <r>
    <x v="28"/>
    <x v="33"/>
    <x v="1"/>
    <n v="482"/>
    <n v="29829"/>
  </r>
  <r>
    <x v="28"/>
    <x v="20"/>
    <x v="1"/>
    <n v="50"/>
    <n v="4283"/>
  </r>
  <r>
    <x v="28"/>
    <x v="34"/>
    <x v="1"/>
    <n v="178"/>
    <n v="9101"/>
  </r>
  <r>
    <x v="29"/>
    <x v="25"/>
    <x v="1"/>
    <n v="59"/>
    <n v="7044"/>
  </r>
  <r>
    <x v="29"/>
    <x v="2"/>
    <x v="1"/>
    <n v="4"/>
    <n v="1003"/>
  </r>
  <r>
    <x v="29"/>
    <x v="3"/>
    <x v="1"/>
    <n v="23"/>
    <n v="8078"/>
  </r>
  <r>
    <x v="29"/>
    <x v="14"/>
    <x v="1"/>
    <n v="60"/>
    <n v="5210"/>
  </r>
  <r>
    <x v="29"/>
    <x v="15"/>
    <x v="1"/>
    <n v="54"/>
    <n v="1491"/>
  </r>
  <r>
    <x v="29"/>
    <x v="4"/>
    <x v="1"/>
    <n v="83"/>
    <n v="3993"/>
  </r>
  <r>
    <x v="29"/>
    <x v="5"/>
    <x v="1"/>
    <n v="6"/>
    <n v="468"/>
  </r>
  <r>
    <x v="29"/>
    <x v="16"/>
    <x v="1"/>
    <n v="380"/>
    <n v="15776"/>
  </r>
  <r>
    <x v="29"/>
    <x v="26"/>
    <x v="1"/>
    <n v="69"/>
    <n v="2801"/>
  </r>
  <r>
    <x v="29"/>
    <x v="27"/>
    <x v="1"/>
    <n v="633"/>
    <n v="36818"/>
  </r>
  <r>
    <x v="29"/>
    <x v="23"/>
    <x v="1"/>
    <n v="92"/>
    <n v="24045"/>
  </r>
  <r>
    <x v="29"/>
    <x v="21"/>
    <x v="1"/>
    <n v="9"/>
    <n v="3683"/>
  </r>
  <r>
    <x v="29"/>
    <x v="6"/>
    <x v="1"/>
    <n v="9"/>
    <n v="4430"/>
  </r>
  <r>
    <x v="29"/>
    <x v="24"/>
    <x v="1"/>
    <n v="22"/>
    <n v="4600"/>
  </r>
  <r>
    <x v="29"/>
    <x v="28"/>
    <x v="1"/>
    <n v="942"/>
    <n v="24184"/>
  </r>
  <r>
    <x v="29"/>
    <x v="29"/>
    <x v="1"/>
    <n v="773"/>
    <n v="21467"/>
  </r>
  <r>
    <x v="29"/>
    <x v="17"/>
    <x v="1"/>
    <n v="117"/>
    <n v="11748"/>
  </r>
  <r>
    <x v="29"/>
    <x v="30"/>
    <x v="1"/>
    <n v="869"/>
    <n v="43063"/>
  </r>
  <r>
    <x v="29"/>
    <x v="9"/>
    <x v="1"/>
    <n v="3"/>
    <n v="1139"/>
  </r>
  <r>
    <x v="29"/>
    <x v="18"/>
    <x v="1"/>
    <n v="101"/>
    <n v="6354"/>
  </r>
  <r>
    <x v="29"/>
    <x v="12"/>
    <x v="1"/>
    <n v="10"/>
    <n v="912"/>
  </r>
  <r>
    <x v="29"/>
    <x v="19"/>
    <x v="1"/>
    <n v="83"/>
    <n v="12368"/>
  </r>
  <r>
    <x v="29"/>
    <x v="31"/>
    <x v="1"/>
    <n v="375"/>
    <n v="16356"/>
  </r>
  <r>
    <x v="29"/>
    <x v="32"/>
    <x v="1"/>
    <n v="543"/>
    <n v="22461"/>
  </r>
  <r>
    <x v="29"/>
    <x v="13"/>
    <x v="1"/>
    <n v="3"/>
    <n v="470"/>
  </r>
  <r>
    <x v="29"/>
    <x v="33"/>
    <x v="1"/>
    <n v="476"/>
    <n v="29087"/>
  </r>
  <r>
    <x v="29"/>
    <x v="20"/>
    <x v="1"/>
    <n v="30"/>
    <n v="4234"/>
  </r>
  <r>
    <x v="29"/>
    <x v="34"/>
    <x v="1"/>
    <n v="218"/>
    <n v="9011"/>
  </r>
  <r>
    <x v="30"/>
    <x v="25"/>
    <x v="1"/>
    <n v="68"/>
    <n v="7743"/>
  </r>
  <r>
    <x v="30"/>
    <x v="2"/>
    <x v="1"/>
    <n v="2"/>
    <n v="1111"/>
  </r>
  <r>
    <x v="30"/>
    <x v="3"/>
    <x v="1"/>
    <n v="24"/>
    <n v="9481"/>
  </r>
  <r>
    <x v="30"/>
    <x v="14"/>
    <x v="1"/>
    <n v="57"/>
    <n v="6068"/>
  </r>
  <r>
    <x v="30"/>
    <x v="15"/>
    <x v="1"/>
    <n v="71"/>
    <n v="1722"/>
  </r>
  <r>
    <x v="30"/>
    <x v="4"/>
    <x v="1"/>
    <n v="79"/>
    <n v="4920"/>
  </r>
  <r>
    <x v="30"/>
    <x v="5"/>
    <x v="1"/>
    <n v="12"/>
    <n v="620"/>
  </r>
  <r>
    <x v="30"/>
    <x v="16"/>
    <x v="1"/>
    <n v="519"/>
    <n v="16459"/>
  </r>
  <r>
    <x v="30"/>
    <x v="26"/>
    <x v="1"/>
    <n v="87"/>
    <n v="2094"/>
  </r>
  <r>
    <x v="30"/>
    <x v="27"/>
    <x v="1"/>
    <n v="670"/>
    <n v="42365"/>
  </r>
  <r>
    <x v="30"/>
    <x v="23"/>
    <x v="1"/>
    <n v="220"/>
    <n v="20543"/>
  </r>
  <r>
    <x v="30"/>
    <x v="21"/>
    <x v="1"/>
    <n v="7"/>
    <n v="3066"/>
  </r>
  <r>
    <x v="30"/>
    <x v="6"/>
    <x v="1"/>
    <n v="10"/>
    <n v="4603"/>
  </r>
  <r>
    <x v="30"/>
    <x v="24"/>
    <x v="1"/>
    <n v="30"/>
    <n v="4837"/>
  </r>
  <r>
    <x v="30"/>
    <x v="28"/>
    <x v="1"/>
    <n v="1154"/>
    <n v="25652"/>
  </r>
  <r>
    <x v="30"/>
    <x v="29"/>
    <x v="1"/>
    <n v="642"/>
    <n v="14522"/>
  </r>
  <r>
    <x v="30"/>
    <x v="17"/>
    <x v="1"/>
    <n v="112"/>
    <n v="13646"/>
  </r>
  <r>
    <x v="30"/>
    <x v="30"/>
    <x v="1"/>
    <n v="1404"/>
    <n v="47126"/>
  </r>
  <r>
    <x v="30"/>
    <x v="8"/>
    <x v="1"/>
    <n v="2"/>
    <n v="272"/>
  </r>
  <r>
    <x v="30"/>
    <x v="18"/>
    <x v="1"/>
    <n v="130"/>
    <n v="8500"/>
  </r>
  <r>
    <x v="30"/>
    <x v="12"/>
    <x v="1"/>
    <n v="7"/>
    <n v="990"/>
  </r>
  <r>
    <x v="30"/>
    <x v="19"/>
    <x v="1"/>
    <n v="94"/>
    <n v="11396"/>
  </r>
  <r>
    <x v="30"/>
    <x v="31"/>
    <x v="1"/>
    <n v="464"/>
    <n v="18951"/>
  </r>
  <r>
    <x v="30"/>
    <x v="32"/>
    <x v="1"/>
    <n v="556"/>
    <n v="28342"/>
  </r>
  <r>
    <x v="30"/>
    <x v="13"/>
    <x v="1"/>
    <n v="3"/>
    <n v="497"/>
  </r>
  <r>
    <x v="30"/>
    <x v="33"/>
    <x v="1"/>
    <n v="512"/>
    <n v="33774"/>
  </r>
  <r>
    <x v="30"/>
    <x v="20"/>
    <x v="1"/>
    <n v="34"/>
    <n v="4562"/>
  </r>
  <r>
    <x v="30"/>
    <x v="34"/>
    <x v="1"/>
    <n v="238"/>
    <n v="9972"/>
  </r>
  <r>
    <x v="31"/>
    <x v="25"/>
    <x v="1"/>
    <n v="98"/>
    <n v="8220"/>
  </r>
  <r>
    <x v="31"/>
    <x v="2"/>
    <x v="1"/>
    <n v="3"/>
    <n v="1226"/>
  </r>
  <r>
    <x v="31"/>
    <x v="3"/>
    <x v="1"/>
    <n v="26"/>
    <n v="7960"/>
  </r>
  <r>
    <x v="31"/>
    <x v="14"/>
    <x v="1"/>
    <n v="50"/>
    <n v="9075"/>
  </r>
  <r>
    <x v="31"/>
    <x v="15"/>
    <x v="1"/>
    <n v="88"/>
    <n v="1805"/>
  </r>
  <r>
    <x v="31"/>
    <x v="4"/>
    <x v="1"/>
    <n v="99"/>
    <n v="5877"/>
  </r>
  <r>
    <x v="31"/>
    <x v="5"/>
    <x v="1"/>
    <n v="3"/>
    <n v="590"/>
  </r>
  <r>
    <x v="31"/>
    <x v="16"/>
    <x v="1"/>
    <n v="538"/>
    <n v="18675"/>
  </r>
  <r>
    <x v="31"/>
    <x v="26"/>
    <x v="1"/>
    <n v="97"/>
    <n v="2521"/>
  </r>
  <r>
    <x v="31"/>
    <x v="27"/>
    <x v="1"/>
    <n v="592"/>
    <n v="32601"/>
  </r>
  <r>
    <x v="31"/>
    <x v="23"/>
    <x v="1"/>
    <n v="215"/>
    <n v="22002"/>
  </r>
  <r>
    <x v="31"/>
    <x v="21"/>
    <x v="1"/>
    <n v="15"/>
    <n v="4242"/>
  </r>
  <r>
    <x v="31"/>
    <x v="6"/>
    <x v="1"/>
    <n v="18"/>
    <n v="4981"/>
  </r>
  <r>
    <x v="31"/>
    <x v="24"/>
    <x v="1"/>
    <n v="40"/>
    <n v="6684"/>
  </r>
  <r>
    <x v="31"/>
    <x v="28"/>
    <x v="1"/>
    <n v="822"/>
    <n v="26232"/>
  </r>
  <r>
    <x v="31"/>
    <x v="29"/>
    <x v="1"/>
    <n v="641"/>
    <n v="12551"/>
  </r>
  <r>
    <x v="31"/>
    <x v="17"/>
    <x v="1"/>
    <n v="137"/>
    <n v="17166"/>
  </r>
  <r>
    <x v="31"/>
    <x v="30"/>
    <x v="1"/>
    <n v="1315"/>
    <n v="48131"/>
  </r>
  <r>
    <x v="31"/>
    <x v="8"/>
    <x v="1"/>
    <n v="2"/>
    <n v="246"/>
  </r>
  <r>
    <x v="31"/>
    <x v="9"/>
    <x v="1"/>
    <n v="2"/>
    <n v="1387"/>
  </r>
  <r>
    <x v="31"/>
    <x v="18"/>
    <x v="1"/>
    <n v="177"/>
    <n v="7105"/>
  </r>
  <r>
    <x v="31"/>
    <x v="12"/>
    <x v="1"/>
    <n v="11"/>
    <n v="990"/>
  </r>
  <r>
    <x v="31"/>
    <x v="19"/>
    <x v="1"/>
    <n v="128"/>
    <n v="12992"/>
  </r>
  <r>
    <x v="31"/>
    <x v="31"/>
    <x v="1"/>
    <n v="539"/>
    <n v="24386"/>
  </r>
  <r>
    <x v="31"/>
    <x v="32"/>
    <x v="1"/>
    <n v="599"/>
    <n v="19015"/>
  </r>
  <r>
    <x v="31"/>
    <x v="13"/>
    <x v="1"/>
    <n v="2"/>
    <n v="657"/>
  </r>
  <r>
    <x v="31"/>
    <x v="33"/>
    <x v="1"/>
    <n v="446"/>
    <n v="42692"/>
  </r>
  <r>
    <x v="31"/>
    <x v="20"/>
    <x v="1"/>
    <n v="47"/>
    <n v="5398"/>
  </r>
  <r>
    <x v="31"/>
    <x v="34"/>
    <x v="1"/>
    <n v="290"/>
    <n v="9743"/>
  </r>
  <r>
    <x v="32"/>
    <x v="1"/>
    <x v="1"/>
    <n v="2"/>
    <n v="175"/>
  </r>
  <r>
    <x v="32"/>
    <x v="25"/>
    <x v="1"/>
    <n v="130"/>
    <n v="7155"/>
  </r>
  <r>
    <x v="32"/>
    <x v="2"/>
    <x v="1"/>
    <n v="2"/>
    <n v="1137"/>
  </r>
  <r>
    <x v="32"/>
    <x v="3"/>
    <x v="1"/>
    <n v="30"/>
    <n v="8111"/>
  </r>
  <r>
    <x v="32"/>
    <x v="14"/>
    <x v="1"/>
    <n v="59"/>
    <n v="4788"/>
  </r>
  <r>
    <x v="32"/>
    <x v="15"/>
    <x v="1"/>
    <n v="130"/>
    <n v="1496"/>
  </r>
  <r>
    <x v="32"/>
    <x v="4"/>
    <x v="1"/>
    <n v="93"/>
    <n v="3575"/>
  </r>
  <r>
    <x v="32"/>
    <x v="5"/>
    <x v="1"/>
    <n v="5"/>
    <n v="488"/>
  </r>
  <r>
    <x v="32"/>
    <x v="16"/>
    <x v="1"/>
    <n v="811"/>
    <n v="16567"/>
  </r>
  <r>
    <x v="32"/>
    <x v="26"/>
    <x v="1"/>
    <n v="71"/>
    <n v="1859"/>
  </r>
  <r>
    <x v="32"/>
    <x v="27"/>
    <x v="1"/>
    <n v="548"/>
    <n v="26023"/>
  </r>
  <r>
    <x v="32"/>
    <x v="23"/>
    <x v="1"/>
    <n v="218"/>
    <n v="23698"/>
  </r>
  <r>
    <x v="32"/>
    <x v="21"/>
    <x v="1"/>
    <n v="16"/>
    <n v="5710"/>
  </r>
  <r>
    <x v="32"/>
    <x v="6"/>
    <x v="1"/>
    <n v="15"/>
    <n v="4531"/>
  </r>
  <r>
    <x v="32"/>
    <x v="24"/>
    <x v="1"/>
    <n v="27"/>
    <n v="4375"/>
  </r>
  <r>
    <x v="32"/>
    <x v="28"/>
    <x v="1"/>
    <n v="1155"/>
    <n v="22859"/>
  </r>
  <r>
    <x v="32"/>
    <x v="29"/>
    <x v="1"/>
    <n v="736"/>
    <n v="13811"/>
  </r>
  <r>
    <x v="32"/>
    <x v="17"/>
    <x v="1"/>
    <n v="134"/>
    <n v="9736"/>
  </r>
  <r>
    <x v="32"/>
    <x v="30"/>
    <x v="1"/>
    <n v="1125"/>
    <n v="32212"/>
  </r>
  <r>
    <x v="32"/>
    <x v="8"/>
    <x v="1"/>
    <n v="2"/>
    <n v="206"/>
  </r>
  <r>
    <x v="32"/>
    <x v="18"/>
    <x v="1"/>
    <n v="186"/>
    <n v="7280"/>
  </r>
  <r>
    <x v="32"/>
    <x v="12"/>
    <x v="1"/>
    <n v="12"/>
    <n v="860"/>
  </r>
  <r>
    <x v="32"/>
    <x v="19"/>
    <x v="1"/>
    <n v="116"/>
    <n v="13632"/>
  </r>
  <r>
    <x v="32"/>
    <x v="31"/>
    <x v="1"/>
    <n v="348"/>
    <n v="13082"/>
  </r>
  <r>
    <x v="32"/>
    <x v="32"/>
    <x v="1"/>
    <n v="520"/>
    <n v="19246"/>
  </r>
  <r>
    <x v="32"/>
    <x v="13"/>
    <x v="1"/>
    <n v="4"/>
    <n v="489"/>
  </r>
  <r>
    <x v="32"/>
    <x v="33"/>
    <x v="1"/>
    <n v="498"/>
    <n v="29434"/>
  </r>
  <r>
    <x v="32"/>
    <x v="20"/>
    <x v="1"/>
    <n v="37"/>
    <n v="5430"/>
  </r>
  <r>
    <x v="32"/>
    <x v="34"/>
    <x v="1"/>
    <n v="160"/>
    <n v="8435"/>
  </r>
  <r>
    <x v="33"/>
    <x v="33"/>
    <x v="1"/>
    <n v="399"/>
    <n v="44334"/>
  </r>
  <r>
    <x v="33"/>
    <x v="30"/>
    <x v="1"/>
    <n v="1289"/>
    <n v="50156"/>
  </r>
  <r>
    <x v="33"/>
    <x v="28"/>
    <x v="1"/>
    <n v="1080"/>
    <n v="30770"/>
  </r>
  <r>
    <x v="33"/>
    <x v="32"/>
    <x v="1"/>
    <n v="626"/>
    <n v="28455"/>
  </r>
  <r>
    <x v="33"/>
    <x v="14"/>
    <x v="1"/>
    <n v="58"/>
    <n v="6824"/>
  </r>
  <r>
    <x v="33"/>
    <x v="29"/>
    <x v="1"/>
    <n v="734"/>
    <n v="164"/>
  </r>
  <r>
    <x v="33"/>
    <x v="31"/>
    <x v="1"/>
    <n v="498"/>
    <n v="21747"/>
  </r>
  <r>
    <x v="33"/>
    <x v="16"/>
    <x v="1"/>
    <n v="1345"/>
    <n v="21520"/>
  </r>
  <r>
    <x v="33"/>
    <x v="17"/>
    <x v="1"/>
    <n v="172"/>
    <n v="19326"/>
  </r>
  <r>
    <x v="33"/>
    <x v="27"/>
    <x v="1"/>
    <n v="494"/>
    <n v="33379"/>
  </r>
  <r>
    <x v="33"/>
    <x v="18"/>
    <x v="1"/>
    <n v="150"/>
    <n v="7500"/>
  </r>
  <r>
    <x v="33"/>
    <x v="3"/>
    <x v="1"/>
    <n v="21"/>
    <n v="7242"/>
  </r>
  <r>
    <x v="33"/>
    <x v="23"/>
    <x v="1"/>
    <n v="282"/>
    <n v="28776"/>
  </r>
  <r>
    <x v="33"/>
    <x v="4"/>
    <x v="1"/>
    <n v="91"/>
    <n v="4946"/>
  </r>
  <r>
    <x v="33"/>
    <x v="34"/>
    <x v="1"/>
    <n v="184"/>
    <n v="10223"/>
  </r>
  <r>
    <x v="33"/>
    <x v="19"/>
    <x v="1"/>
    <n v="105"/>
    <n v="15000"/>
  </r>
  <r>
    <x v="33"/>
    <x v="25"/>
    <x v="1"/>
    <n v="123"/>
    <n v="8483"/>
  </r>
  <r>
    <x v="33"/>
    <x v="24"/>
    <x v="1"/>
    <n v="29"/>
    <n v="4678"/>
  </r>
  <r>
    <x v="33"/>
    <x v="20"/>
    <x v="1"/>
    <n v="49"/>
    <n v="5385"/>
  </r>
  <r>
    <x v="33"/>
    <x v="6"/>
    <x v="1"/>
    <n v="10"/>
    <n v="5264"/>
  </r>
  <r>
    <x v="33"/>
    <x v="26"/>
    <x v="1"/>
    <n v="86"/>
    <n v="2331"/>
  </r>
  <r>
    <x v="33"/>
    <x v="15"/>
    <x v="1"/>
    <n v="101"/>
    <n v="1624"/>
  </r>
  <r>
    <x v="33"/>
    <x v="13"/>
    <x v="1"/>
    <n v="2"/>
    <n v="466"/>
  </r>
  <r>
    <x v="33"/>
    <x v="12"/>
    <x v="1"/>
    <n v="10"/>
    <n v="1250"/>
  </r>
  <r>
    <x v="33"/>
    <x v="21"/>
    <x v="1"/>
    <n v="13"/>
    <n v="4815"/>
  </r>
  <r>
    <x v="33"/>
    <x v="5"/>
    <x v="1"/>
    <n v="3"/>
    <n v="527"/>
  </r>
  <r>
    <x v="33"/>
    <x v="8"/>
    <x v="1"/>
    <n v="7"/>
    <n v="433"/>
  </r>
  <r>
    <x v="33"/>
    <x v="2"/>
    <x v="1"/>
    <n v="5"/>
    <n v="1174"/>
  </r>
  <r>
    <x v="34"/>
    <x v="33"/>
    <x v="1"/>
    <n v="394"/>
    <n v="37170"/>
  </r>
  <r>
    <x v="34"/>
    <x v="30"/>
    <x v="1"/>
    <n v="1227"/>
    <n v="36302"/>
  </r>
  <r>
    <x v="34"/>
    <x v="28"/>
    <x v="1"/>
    <n v="923"/>
    <n v="24812"/>
  </r>
  <r>
    <x v="34"/>
    <x v="32"/>
    <x v="1"/>
    <n v="595"/>
    <n v="23063"/>
  </r>
  <r>
    <x v="34"/>
    <x v="31"/>
    <x v="1"/>
    <n v="517"/>
    <n v="19149"/>
  </r>
  <r>
    <x v="34"/>
    <x v="14"/>
    <x v="1"/>
    <n v="71"/>
    <n v="6762"/>
  </r>
  <r>
    <x v="34"/>
    <x v="17"/>
    <x v="1"/>
    <n v="146"/>
    <n v="18025"/>
  </r>
  <r>
    <x v="34"/>
    <x v="29"/>
    <x v="1"/>
    <n v="684"/>
    <n v="12281"/>
  </r>
  <r>
    <x v="34"/>
    <x v="27"/>
    <x v="1"/>
    <n v="510"/>
    <n v="25758"/>
  </r>
  <r>
    <x v="34"/>
    <x v="16"/>
    <x v="1"/>
    <n v="596"/>
    <n v="17898"/>
  </r>
  <r>
    <x v="34"/>
    <x v="3"/>
    <x v="1"/>
    <n v="24"/>
    <n v="6858"/>
  </r>
  <r>
    <x v="34"/>
    <x v="18"/>
    <x v="1"/>
    <n v="203"/>
    <n v="6305"/>
  </r>
  <r>
    <x v="34"/>
    <x v="4"/>
    <x v="1"/>
    <n v="99"/>
    <n v="4125"/>
  </r>
  <r>
    <x v="34"/>
    <x v="19"/>
    <x v="1"/>
    <n v="111"/>
    <n v="14051"/>
  </r>
  <r>
    <x v="34"/>
    <x v="25"/>
    <x v="1"/>
    <n v="128"/>
    <n v="6125"/>
  </r>
  <r>
    <x v="34"/>
    <x v="23"/>
    <x v="1"/>
    <n v="312"/>
    <n v="26000"/>
  </r>
  <r>
    <x v="34"/>
    <x v="34"/>
    <x v="1"/>
    <n v="185"/>
    <n v="8487"/>
  </r>
  <r>
    <x v="34"/>
    <x v="24"/>
    <x v="1"/>
    <n v="42"/>
    <n v="4667"/>
  </r>
  <r>
    <x v="34"/>
    <x v="20"/>
    <x v="1"/>
    <n v="60"/>
    <n v="5826"/>
  </r>
  <r>
    <x v="34"/>
    <x v="6"/>
    <x v="1"/>
    <n v="24"/>
    <n v="4211"/>
  </r>
  <r>
    <x v="34"/>
    <x v="26"/>
    <x v="1"/>
    <n v="99"/>
    <n v="1772"/>
  </r>
  <r>
    <x v="34"/>
    <x v="13"/>
    <x v="1"/>
    <n v="5"/>
    <n v="538"/>
  </r>
  <r>
    <x v="34"/>
    <x v="15"/>
    <x v="1"/>
    <n v="84"/>
    <n v="1321"/>
  </r>
  <r>
    <x v="34"/>
    <x v="12"/>
    <x v="1"/>
    <n v="16"/>
    <n v="1177"/>
  </r>
  <r>
    <x v="34"/>
    <x v="21"/>
    <x v="1"/>
    <n v="11"/>
    <n v="4584"/>
  </r>
  <r>
    <x v="34"/>
    <x v="8"/>
    <x v="1"/>
    <n v="7"/>
    <n v="310"/>
  </r>
  <r>
    <x v="34"/>
    <x v="5"/>
    <x v="1"/>
    <n v="5"/>
    <n v="444"/>
  </r>
  <r>
    <x v="34"/>
    <x v="9"/>
    <x v="1"/>
    <n v="4"/>
    <n v="1261"/>
  </r>
  <r>
    <x v="34"/>
    <x v="2"/>
    <x v="1"/>
    <n v="4"/>
    <n v="1184"/>
  </r>
  <r>
    <x v="35"/>
    <x v="30"/>
    <x v="1"/>
    <n v="1079"/>
    <n v="36826"/>
  </r>
  <r>
    <x v="35"/>
    <x v="33"/>
    <x v="1"/>
    <n v="389"/>
    <n v="34425"/>
  </r>
  <r>
    <x v="35"/>
    <x v="28"/>
    <x v="1"/>
    <n v="1482"/>
    <n v="26751"/>
  </r>
  <r>
    <x v="35"/>
    <x v="32"/>
    <x v="1"/>
    <n v="749"/>
    <n v="22095"/>
  </r>
  <r>
    <x v="35"/>
    <x v="31"/>
    <x v="1"/>
    <n v="493"/>
    <n v="16942"/>
  </r>
  <r>
    <x v="35"/>
    <x v="16"/>
    <x v="1"/>
    <n v="897"/>
    <n v="15905"/>
  </r>
  <r>
    <x v="35"/>
    <x v="29"/>
    <x v="1"/>
    <n v="876"/>
    <n v="13861"/>
  </r>
  <r>
    <x v="35"/>
    <x v="27"/>
    <x v="1"/>
    <n v="661"/>
    <n v="25424"/>
  </r>
  <r>
    <x v="35"/>
    <x v="14"/>
    <x v="1"/>
    <n v="99"/>
    <n v="6972"/>
  </r>
  <r>
    <x v="35"/>
    <x v="17"/>
    <x v="1"/>
    <n v="143"/>
    <n v="14743"/>
  </r>
  <r>
    <x v="35"/>
    <x v="25"/>
    <x v="1"/>
    <n v="366"/>
    <n v="7838"/>
  </r>
  <r>
    <x v="35"/>
    <x v="3"/>
    <x v="1"/>
    <n v="53"/>
    <n v="7465"/>
  </r>
  <r>
    <x v="35"/>
    <x v="4"/>
    <x v="1"/>
    <n v="120"/>
    <n v="4348"/>
  </r>
  <r>
    <x v="35"/>
    <x v="19"/>
    <x v="1"/>
    <n v="132"/>
    <n v="14348"/>
  </r>
  <r>
    <x v="35"/>
    <x v="34"/>
    <x v="1"/>
    <n v="495"/>
    <n v="8089"/>
  </r>
  <r>
    <x v="35"/>
    <x v="23"/>
    <x v="1"/>
    <n v="305"/>
    <n v="23644"/>
  </r>
  <r>
    <x v="35"/>
    <x v="24"/>
    <x v="1"/>
    <n v="52"/>
    <n v="4483"/>
  </r>
  <r>
    <x v="35"/>
    <x v="26"/>
    <x v="1"/>
    <n v="123"/>
    <n v="1730"/>
  </r>
  <r>
    <x v="35"/>
    <x v="20"/>
    <x v="1"/>
    <n v="51"/>
    <n v="4812"/>
  </r>
  <r>
    <x v="35"/>
    <x v="6"/>
    <x v="1"/>
    <n v="18"/>
    <n v="4500"/>
  </r>
  <r>
    <x v="35"/>
    <x v="13"/>
    <x v="1"/>
    <n v="3"/>
    <n v="556"/>
  </r>
  <r>
    <x v="35"/>
    <x v="15"/>
    <x v="1"/>
    <n v="119"/>
    <n v="1294"/>
  </r>
  <r>
    <x v="35"/>
    <x v="12"/>
    <x v="1"/>
    <n v="5"/>
    <n v="1042"/>
  </r>
  <r>
    <x v="35"/>
    <x v="9"/>
    <x v="1"/>
    <n v="3"/>
    <n v="1200"/>
  </r>
  <r>
    <x v="35"/>
    <x v="21"/>
    <x v="1"/>
    <n v="17"/>
    <n v="4147"/>
  </r>
  <r>
    <x v="35"/>
    <x v="5"/>
    <x v="1"/>
    <n v="4"/>
    <n v="429"/>
  </r>
  <r>
    <x v="35"/>
    <x v="8"/>
    <x v="1"/>
    <n v="2"/>
    <n v="370"/>
  </r>
  <r>
    <x v="0"/>
    <x v="25"/>
    <x v="0"/>
    <n v="436"/>
    <n v="63444"/>
  </r>
  <r>
    <x v="0"/>
    <x v="3"/>
    <x v="0"/>
    <n v="7"/>
    <n v="30344"/>
  </r>
  <r>
    <x v="0"/>
    <x v="14"/>
    <x v="0"/>
    <n v="47"/>
    <n v="81056"/>
  </r>
  <r>
    <x v="0"/>
    <x v="15"/>
    <x v="0"/>
    <n v="6"/>
    <n v="1200"/>
  </r>
  <r>
    <x v="0"/>
    <x v="4"/>
    <x v="0"/>
    <n v="36"/>
    <n v="10274"/>
  </r>
  <r>
    <x v="0"/>
    <x v="16"/>
    <x v="0"/>
    <n v="272"/>
    <n v="14233"/>
  </r>
  <r>
    <x v="0"/>
    <x v="26"/>
    <x v="0"/>
    <n v="36"/>
    <n v="3374"/>
  </r>
  <r>
    <x v="0"/>
    <x v="27"/>
    <x v="0"/>
    <n v="98"/>
    <n v="49005"/>
  </r>
  <r>
    <x v="0"/>
    <x v="23"/>
    <x v="0"/>
    <n v="101"/>
    <n v="31078"/>
  </r>
  <r>
    <x v="0"/>
    <x v="21"/>
    <x v="0"/>
    <n v="9"/>
    <n v="4360"/>
  </r>
  <r>
    <x v="0"/>
    <x v="6"/>
    <x v="0"/>
    <n v="22"/>
    <n v="6874"/>
  </r>
  <r>
    <x v="0"/>
    <x v="24"/>
    <x v="0"/>
    <n v="80"/>
    <n v="26969"/>
  </r>
  <r>
    <x v="0"/>
    <x v="28"/>
    <x v="0"/>
    <n v="1549"/>
    <n v="59979"/>
  </r>
  <r>
    <x v="0"/>
    <x v="29"/>
    <x v="0"/>
    <n v="379"/>
    <n v="57624"/>
  </r>
  <r>
    <x v="0"/>
    <x v="17"/>
    <x v="0"/>
    <n v="126"/>
    <n v="29491"/>
  </r>
  <r>
    <x v="0"/>
    <x v="30"/>
    <x v="0"/>
    <n v="428"/>
    <n v="45515"/>
  </r>
  <r>
    <x v="0"/>
    <x v="8"/>
    <x v="0"/>
    <n v="2"/>
    <n v="3048"/>
  </r>
  <r>
    <x v="0"/>
    <x v="18"/>
    <x v="0"/>
    <n v="191"/>
    <n v="36953"/>
  </r>
  <r>
    <x v="0"/>
    <x v="12"/>
    <x v="0"/>
    <n v="18"/>
    <n v="2581"/>
  </r>
  <r>
    <x v="0"/>
    <x v="19"/>
    <x v="0"/>
    <n v="9"/>
    <n v="24348"/>
  </r>
  <r>
    <x v="0"/>
    <x v="31"/>
    <x v="0"/>
    <n v="325"/>
    <n v="48828"/>
  </r>
  <r>
    <x v="0"/>
    <x v="32"/>
    <x v="0"/>
    <n v="1297"/>
    <n v="107658"/>
  </r>
  <r>
    <x v="0"/>
    <x v="33"/>
    <x v="0"/>
    <n v="171"/>
    <n v="137840"/>
  </r>
  <r>
    <x v="0"/>
    <x v="20"/>
    <x v="0"/>
    <n v="34"/>
    <n v="7607"/>
  </r>
  <r>
    <x v="0"/>
    <x v="34"/>
    <x v="0"/>
    <n v="9"/>
    <n v="65885"/>
  </r>
  <r>
    <x v="1"/>
    <x v="25"/>
    <x v="0"/>
    <n v="201"/>
    <n v="41370"/>
  </r>
  <r>
    <x v="1"/>
    <x v="14"/>
    <x v="0"/>
    <n v="8"/>
    <n v="55276"/>
  </r>
  <r>
    <x v="1"/>
    <x v="4"/>
    <x v="0"/>
    <n v="6"/>
    <n v="5280"/>
  </r>
  <r>
    <x v="1"/>
    <x v="26"/>
    <x v="0"/>
    <n v="27"/>
    <n v="379"/>
  </r>
  <r>
    <x v="1"/>
    <x v="27"/>
    <x v="0"/>
    <n v="106"/>
    <n v="33419"/>
  </r>
  <r>
    <x v="1"/>
    <x v="23"/>
    <x v="0"/>
    <n v="17"/>
    <n v="7315"/>
  </r>
  <r>
    <x v="1"/>
    <x v="21"/>
    <x v="0"/>
    <n v="4"/>
    <n v="1721"/>
  </r>
  <r>
    <x v="1"/>
    <x v="6"/>
    <x v="0"/>
    <n v="50"/>
    <n v="1916"/>
  </r>
  <r>
    <x v="1"/>
    <x v="24"/>
    <x v="0"/>
    <n v="39"/>
    <n v="21680"/>
  </r>
  <r>
    <x v="1"/>
    <x v="28"/>
    <x v="0"/>
    <n v="140"/>
    <n v="4942"/>
  </r>
  <r>
    <x v="1"/>
    <x v="29"/>
    <x v="0"/>
    <n v="95"/>
    <n v="6675"/>
  </r>
  <r>
    <x v="1"/>
    <x v="30"/>
    <x v="0"/>
    <n v="189"/>
    <n v="16627"/>
  </r>
  <r>
    <x v="1"/>
    <x v="18"/>
    <x v="0"/>
    <n v="28"/>
    <n v="5900"/>
  </r>
  <r>
    <x v="1"/>
    <x v="12"/>
    <x v="0"/>
    <n v="3"/>
    <n v="314"/>
  </r>
  <r>
    <x v="1"/>
    <x v="19"/>
    <x v="0"/>
    <n v="21"/>
    <n v="14366"/>
  </r>
  <r>
    <x v="1"/>
    <x v="31"/>
    <x v="0"/>
    <n v="33"/>
    <n v="18802"/>
  </r>
  <r>
    <x v="1"/>
    <x v="32"/>
    <x v="0"/>
    <n v="237"/>
    <n v="17837"/>
  </r>
  <r>
    <x v="1"/>
    <x v="33"/>
    <x v="0"/>
    <n v="25"/>
    <n v="147458"/>
  </r>
  <r>
    <x v="1"/>
    <x v="20"/>
    <x v="0"/>
    <n v="6"/>
    <n v="2957"/>
  </r>
  <r>
    <x v="1"/>
    <x v="34"/>
    <x v="0"/>
    <n v="6"/>
    <n v="28906"/>
  </r>
  <r>
    <x v="2"/>
    <x v="25"/>
    <x v="0"/>
    <n v="369"/>
    <n v="53867"/>
  </r>
  <r>
    <x v="2"/>
    <x v="3"/>
    <x v="0"/>
    <n v="6"/>
    <n v="22586"/>
  </r>
  <r>
    <x v="2"/>
    <x v="14"/>
    <x v="0"/>
    <n v="67"/>
    <n v="100771"/>
  </r>
  <r>
    <x v="2"/>
    <x v="15"/>
    <x v="0"/>
    <n v="2"/>
    <n v="1314"/>
  </r>
  <r>
    <x v="2"/>
    <x v="4"/>
    <x v="0"/>
    <n v="138"/>
    <n v="31808"/>
  </r>
  <r>
    <x v="2"/>
    <x v="5"/>
    <x v="0"/>
    <n v="2"/>
    <n v="627"/>
  </r>
  <r>
    <x v="2"/>
    <x v="16"/>
    <x v="0"/>
    <n v="205"/>
    <n v="22186"/>
  </r>
  <r>
    <x v="2"/>
    <x v="26"/>
    <x v="0"/>
    <n v="17"/>
    <n v="1533"/>
  </r>
  <r>
    <x v="2"/>
    <x v="27"/>
    <x v="0"/>
    <n v="207"/>
    <n v="59121"/>
  </r>
  <r>
    <x v="2"/>
    <x v="23"/>
    <x v="0"/>
    <n v="74"/>
    <n v="31957"/>
  </r>
  <r>
    <x v="2"/>
    <x v="21"/>
    <x v="0"/>
    <n v="25"/>
    <n v="5098"/>
  </r>
  <r>
    <x v="2"/>
    <x v="6"/>
    <x v="0"/>
    <n v="87"/>
    <n v="8677"/>
  </r>
  <r>
    <x v="2"/>
    <x v="24"/>
    <x v="0"/>
    <n v="42"/>
    <n v="33533"/>
  </r>
  <r>
    <x v="2"/>
    <x v="28"/>
    <x v="0"/>
    <n v="560"/>
    <n v="19402"/>
  </r>
  <r>
    <x v="2"/>
    <x v="29"/>
    <x v="0"/>
    <n v="184"/>
    <n v="17828"/>
  </r>
  <r>
    <x v="2"/>
    <x v="17"/>
    <x v="0"/>
    <n v="227"/>
    <n v="90928"/>
  </r>
  <r>
    <x v="2"/>
    <x v="30"/>
    <x v="0"/>
    <n v="891"/>
    <n v="75098"/>
  </r>
  <r>
    <x v="2"/>
    <x v="18"/>
    <x v="0"/>
    <n v="147"/>
    <n v="23193"/>
  </r>
  <r>
    <x v="2"/>
    <x v="12"/>
    <x v="0"/>
    <n v="31"/>
    <n v="2559"/>
  </r>
  <r>
    <x v="2"/>
    <x v="19"/>
    <x v="0"/>
    <n v="71"/>
    <n v="23393"/>
  </r>
  <r>
    <x v="2"/>
    <x v="31"/>
    <x v="0"/>
    <n v="515"/>
    <n v="59809"/>
  </r>
  <r>
    <x v="2"/>
    <x v="32"/>
    <x v="0"/>
    <n v="660"/>
    <n v="45197"/>
  </r>
  <r>
    <x v="2"/>
    <x v="33"/>
    <x v="0"/>
    <n v="92"/>
    <n v="264409"/>
  </r>
  <r>
    <x v="2"/>
    <x v="20"/>
    <x v="0"/>
    <n v="37"/>
    <n v="9766"/>
  </r>
  <r>
    <x v="2"/>
    <x v="34"/>
    <x v="0"/>
    <n v="12"/>
    <n v="67354"/>
  </r>
  <r>
    <x v="3"/>
    <x v="25"/>
    <x v="0"/>
    <n v="811"/>
    <n v="58165"/>
  </r>
  <r>
    <x v="3"/>
    <x v="3"/>
    <x v="0"/>
    <n v="22"/>
    <n v="22521"/>
  </r>
  <r>
    <x v="3"/>
    <x v="14"/>
    <x v="0"/>
    <n v="189"/>
    <n v="70562"/>
  </r>
  <r>
    <x v="3"/>
    <x v="15"/>
    <x v="0"/>
    <n v="11"/>
    <n v="1286"/>
  </r>
  <r>
    <x v="3"/>
    <x v="4"/>
    <x v="0"/>
    <n v="253"/>
    <n v="30642"/>
  </r>
  <r>
    <x v="3"/>
    <x v="5"/>
    <x v="0"/>
    <n v="3"/>
    <n v="704"/>
  </r>
  <r>
    <x v="3"/>
    <x v="16"/>
    <x v="0"/>
    <n v="818"/>
    <n v="24955"/>
  </r>
  <r>
    <x v="3"/>
    <x v="26"/>
    <x v="0"/>
    <n v="64"/>
    <n v="1694"/>
  </r>
  <r>
    <x v="3"/>
    <x v="27"/>
    <x v="0"/>
    <n v="358"/>
    <n v="68641"/>
  </r>
  <r>
    <x v="3"/>
    <x v="23"/>
    <x v="0"/>
    <n v="134"/>
    <n v="24476"/>
  </r>
  <r>
    <x v="3"/>
    <x v="21"/>
    <x v="0"/>
    <n v="18"/>
    <n v="6543"/>
  </r>
  <r>
    <x v="3"/>
    <x v="6"/>
    <x v="0"/>
    <n v="203"/>
    <n v="10104"/>
  </r>
  <r>
    <x v="3"/>
    <x v="24"/>
    <x v="0"/>
    <n v="108"/>
    <n v="29512"/>
  </r>
  <r>
    <x v="3"/>
    <x v="28"/>
    <x v="0"/>
    <n v="3384"/>
    <n v="84001"/>
  </r>
  <r>
    <x v="3"/>
    <x v="29"/>
    <x v="0"/>
    <n v="456"/>
    <n v="41455"/>
  </r>
  <r>
    <x v="3"/>
    <x v="17"/>
    <x v="0"/>
    <n v="469"/>
    <n v="99094"/>
  </r>
  <r>
    <x v="3"/>
    <x v="30"/>
    <x v="0"/>
    <n v="2101"/>
    <n v="146083"/>
  </r>
  <r>
    <x v="3"/>
    <x v="18"/>
    <x v="0"/>
    <n v="324"/>
    <n v="38080"/>
  </r>
  <r>
    <x v="3"/>
    <x v="12"/>
    <x v="0"/>
    <n v="38"/>
    <n v="3592"/>
  </r>
  <r>
    <x v="3"/>
    <x v="19"/>
    <x v="0"/>
    <n v="318"/>
    <n v="27261"/>
  </r>
  <r>
    <x v="3"/>
    <x v="31"/>
    <x v="0"/>
    <n v="1378"/>
    <n v="67308"/>
  </r>
  <r>
    <x v="3"/>
    <x v="32"/>
    <x v="0"/>
    <n v="2801"/>
    <n v="122808"/>
  </r>
  <r>
    <x v="3"/>
    <x v="33"/>
    <x v="0"/>
    <n v="303"/>
    <n v="215180"/>
  </r>
  <r>
    <x v="3"/>
    <x v="20"/>
    <x v="0"/>
    <n v="76"/>
    <n v="12268"/>
  </r>
  <r>
    <x v="3"/>
    <x v="34"/>
    <x v="0"/>
    <n v="36"/>
    <n v="76665"/>
  </r>
  <r>
    <x v="4"/>
    <x v="25"/>
    <x v="0"/>
    <n v="666"/>
    <n v="58473"/>
  </r>
  <r>
    <x v="4"/>
    <x v="3"/>
    <x v="0"/>
    <n v="26"/>
    <n v="25097"/>
  </r>
  <r>
    <x v="4"/>
    <x v="14"/>
    <x v="0"/>
    <n v="191"/>
    <n v="54618"/>
  </r>
  <r>
    <x v="4"/>
    <x v="15"/>
    <x v="0"/>
    <n v="19"/>
    <n v="1380"/>
  </r>
  <r>
    <x v="4"/>
    <x v="4"/>
    <x v="0"/>
    <n v="238"/>
    <n v="27491"/>
  </r>
  <r>
    <x v="4"/>
    <x v="5"/>
    <x v="0"/>
    <n v="2"/>
    <n v="584"/>
  </r>
  <r>
    <x v="4"/>
    <x v="16"/>
    <x v="0"/>
    <n v="995"/>
    <n v="26069"/>
  </r>
  <r>
    <x v="4"/>
    <x v="26"/>
    <x v="0"/>
    <n v="22"/>
    <n v="2316"/>
  </r>
  <r>
    <x v="4"/>
    <x v="27"/>
    <x v="0"/>
    <n v="584"/>
    <n v="54721"/>
  </r>
  <r>
    <x v="4"/>
    <x v="23"/>
    <x v="0"/>
    <n v="441"/>
    <n v="30342"/>
  </r>
  <r>
    <x v="4"/>
    <x v="21"/>
    <x v="0"/>
    <n v="32"/>
    <n v="5430"/>
  </r>
  <r>
    <x v="4"/>
    <x v="6"/>
    <x v="0"/>
    <n v="122"/>
    <n v="9978"/>
  </r>
  <r>
    <x v="4"/>
    <x v="24"/>
    <x v="0"/>
    <n v="137"/>
    <n v="26589"/>
  </r>
  <r>
    <x v="4"/>
    <x v="28"/>
    <x v="0"/>
    <n v="3319"/>
    <n v="79751"/>
  </r>
  <r>
    <x v="4"/>
    <x v="29"/>
    <x v="0"/>
    <n v="598"/>
    <n v="52507"/>
  </r>
  <r>
    <x v="4"/>
    <x v="17"/>
    <x v="0"/>
    <n v="457"/>
    <n v="67859"/>
  </r>
  <r>
    <x v="4"/>
    <x v="30"/>
    <x v="0"/>
    <n v="2419"/>
    <n v="119076"/>
  </r>
  <r>
    <x v="4"/>
    <x v="18"/>
    <x v="0"/>
    <n v="485"/>
    <n v="33821"/>
  </r>
  <r>
    <x v="4"/>
    <x v="12"/>
    <x v="0"/>
    <n v="34"/>
    <n v="3496"/>
  </r>
  <r>
    <x v="4"/>
    <x v="19"/>
    <x v="0"/>
    <n v="342"/>
    <n v="27376"/>
  </r>
  <r>
    <x v="4"/>
    <x v="31"/>
    <x v="0"/>
    <n v="1451"/>
    <n v="57021"/>
  </r>
  <r>
    <x v="4"/>
    <x v="32"/>
    <x v="0"/>
    <n v="2745"/>
    <n v="109440"/>
  </r>
  <r>
    <x v="4"/>
    <x v="33"/>
    <x v="0"/>
    <n v="531"/>
    <n v="146734"/>
  </r>
  <r>
    <x v="4"/>
    <x v="20"/>
    <x v="0"/>
    <n v="114"/>
    <n v="11192"/>
  </r>
  <r>
    <x v="4"/>
    <x v="34"/>
    <x v="0"/>
    <n v="80"/>
    <n v="63613"/>
  </r>
  <r>
    <x v="5"/>
    <x v="25"/>
    <x v="0"/>
    <n v="766"/>
    <n v="51764"/>
  </r>
  <r>
    <x v="5"/>
    <x v="3"/>
    <x v="0"/>
    <n v="38"/>
    <n v="24438"/>
  </r>
  <r>
    <x v="5"/>
    <x v="14"/>
    <x v="0"/>
    <n v="475"/>
    <n v="48021"/>
  </r>
  <r>
    <x v="5"/>
    <x v="15"/>
    <x v="0"/>
    <n v="25"/>
    <n v="1162"/>
  </r>
  <r>
    <x v="5"/>
    <x v="4"/>
    <x v="0"/>
    <n v="244"/>
    <n v="24790"/>
  </r>
  <r>
    <x v="5"/>
    <x v="16"/>
    <x v="0"/>
    <n v="809"/>
    <n v="17347"/>
  </r>
  <r>
    <x v="5"/>
    <x v="26"/>
    <x v="0"/>
    <n v="87"/>
    <n v="3081"/>
  </r>
  <r>
    <x v="5"/>
    <x v="27"/>
    <x v="0"/>
    <n v="959"/>
    <n v="71820"/>
  </r>
  <r>
    <x v="5"/>
    <x v="23"/>
    <x v="0"/>
    <n v="691"/>
    <n v="32590"/>
  </r>
  <r>
    <x v="5"/>
    <x v="21"/>
    <x v="0"/>
    <n v="33"/>
    <n v="4975"/>
  </r>
  <r>
    <x v="5"/>
    <x v="6"/>
    <x v="0"/>
    <n v="157"/>
    <n v="7354"/>
  </r>
  <r>
    <x v="5"/>
    <x v="24"/>
    <x v="0"/>
    <n v="149"/>
    <n v="24528"/>
  </r>
  <r>
    <x v="5"/>
    <x v="28"/>
    <x v="0"/>
    <n v="3539"/>
    <n v="80292"/>
  </r>
  <r>
    <x v="5"/>
    <x v="29"/>
    <x v="0"/>
    <n v="789"/>
    <n v="48245"/>
  </r>
  <r>
    <x v="5"/>
    <x v="17"/>
    <x v="0"/>
    <n v="590"/>
    <n v="65166"/>
  </r>
  <r>
    <x v="5"/>
    <x v="30"/>
    <x v="0"/>
    <n v="2166"/>
    <n v="92351"/>
  </r>
  <r>
    <x v="5"/>
    <x v="18"/>
    <x v="0"/>
    <n v="490"/>
    <n v="28355"/>
  </r>
  <r>
    <x v="5"/>
    <x v="12"/>
    <x v="0"/>
    <n v="48"/>
    <n v="3211"/>
  </r>
  <r>
    <x v="5"/>
    <x v="19"/>
    <x v="0"/>
    <n v="487"/>
    <n v="24819"/>
  </r>
  <r>
    <x v="5"/>
    <x v="31"/>
    <x v="0"/>
    <n v="1625"/>
    <n v="48502"/>
  </r>
  <r>
    <x v="5"/>
    <x v="32"/>
    <x v="0"/>
    <n v="2880"/>
    <n v="108477"/>
  </r>
  <r>
    <x v="5"/>
    <x v="33"/>
    <x v="0"/>
    <n v="730"/>
    <n v="132962"/>
  </r>
  <r>
    <x v="5"/>
    <x v="20"/>
    <x v="0"/>
    <n v="169"/>
    <n v="9926"/>
  </r>
  <r>
    <x v="5"/>
    <x v="34"/>
    <x v="0"/>
    <n v="84"/>
    <n v="65430"/>
  </r>
  <r>
    <x v="6"/>
    <x v="25"/>
    <x v="0"/>
    <n v="993"/>
    <n v="88110"/>
  </r>
  <r>
    <x v="6"/>
    <x v="3"/>
    <x v="0"/>
    <n v="28"/>
    <n v="32155"/>
  </r>
  <r>
    <x v="6"/>
    <x v="14"/>
    <x v="0"/>
    <n v="470"/>
    <n v="50679"/>
  </r>
  <r>
    <x v="6"/>
    <x v="15"/>
    <x v="0"/>
    <n v="18"/>
    <n v="1792"/>
  </r>
  <r>
    <x v="6"/>
    <x v="4"/>
    <x v="0"/>
    <n v="301"/>
    <n v="33464"/>
  </r>
  <r>
    <x v="6"/>
    <x v="16"/>
    <x v="0"/>
    <n v="995"/>
    <n v="26087"/>
  </r>
  <r>
    <x v="6"/>
    <x v="26"/>
    <x v="0"/>
    <n v="163"/>
    <n v="3914"/>
  </r>
  <r>
    <x v="6"/>
    <x v="27"/>
    <x v="0"/>
    <n v="1460"/>
    <n v="84700"/>
  </r>
  <r>
    <x v="6"/>
    <x v="23"/>
    <x v="0"/>
    <n v="505"/>
    <n v="26891"/>
  </r>
  <r>
    <x v="6"/>
    <x v="21"/>
    <x v="0"/>
    <n v="29"/>
    <n v="4651"/>
  </r>
  <r>
    <x v="6"/>
    <x v="6"/>
    <x v="0"/>
    <n v="199"/>
    <n v="8601"/>
  </r>
  <r>
    <x v="6"/>
    <x v="24"/>
    <x v="0"/>
    <n v="253"/>
    <n v="28877"/>
  </r>
  <r>
    <x v="6"/>
    <x v="28"/>
    <x v="0"/>
    <n v="3709"/>
    <n v="76401"/>
  </r>
  <r>
    <x v="6"/>
    <x v="29"/>
    <x v="0"/>
    <n v="833"/>
    <n v="42377"/>
  </r>
  <r>
    <x v="6"/>
    <x v="7"/>
    <x v="0"/>
    <n v="6"/>
    <n v="18"/>
  </r>
  <r>
    <x v="6"/>
    <x v="17"/>
    <x v="0"/>
    <n v="545"/>
    <n v="52075"/>
  </r>
  <r>
    <x v="6"/>
    <x v="30"/>
    <x v="0"/>
    <n v="3554"/>
    <n v="131332"/>
  </r>
  <r>
    <x v="6"/>
    <x v="8"/>
    <x v="0"/>
    <n v="6"/>
    <n v="2098"/>
  </r>
  <r>
    <x v="6"/>
    <x v="18"/>
    <x v="0"/>
    <n v="948"/>
    <n v="52708"/>
  </r>
  <r>
    <x v="6"/>
    <x v="12"/>
    <x v="0"/>
    <n v="31"/>
    <n v="2839"/>
  </r>
  <r>
    <x v="6"/>
    <x v="19"/>
    <x v="0"/>
    <n v="416"/>
    <n v="29940"/>
  </r>
  <r>
    <x v="6"/>
    <x v="31"/>
    <x v="0"/>
    <n v="1602"/>
    <n v="65626"/>
  </r>
  <r>
    <x v="6"/>
    <x v="32"/>
    <x v="0"/>
    <n v="2530"/>
    <n v="85674"/>
  </r>
  <r>
    <x v="6"/>
    <x v="33"/>
    <x v="0"/>
    <n v="1022"/>
    <n v="129924"/>
  </r>
  <r>
    <x v="6"/>
    <x v="20"/>
    <x v="0"/>
    <n v="129"/>
    <n v="12826"/>
  </r>
  <r>
    <x v="6"/>
    <x v="34"/>
    <x v="0"/>
    <n v="67"/>
    <n v="53475"/>
  </r>
  <r>
    <x v="7"/>
    <x v="25"/>
    <x v="0"/>
    <n v="1114"/>
    <n v="64835"/>
  </r>
  <r>
    <x v="7"/>
    <x v="3"/>
    <x v="0"/>
    <n v="120"/>
    <n v="29586"/>
  </r>
  <r>
    <x v="7"/>
    <x v="14"/>
    <x v="0"/>
    <n v="604"/>
    <n v="107209"/>
  </r>
  <r>
    <x v="7"/>
    <x v="15"/>
    <x v="0"/>
    <n v="79"/>
    <n v="2083"/>
  </r>
  <r>
    <x v="7"/>
    <x v="4"/>
    <x v="0"/>
    <n v="509"/>
    <n v="63099"/>
  </r>
  <r>
    <x v="7"/>
    <x v="16"/>
    <x v="0"/>
    <n v="1269"/>
    <n v="37710"/>
  </r>
  <r>
    <x v="7"/>
    <x v="26"/>
    <x v="0"/>
    <n v="178"/>
    <n v="4104"/>
  </r>
  <r>
    <x v="7"/>
    <x v="27"/>
    <x v="0"/>
    <n v="1569"/>
    <n v="110759"/>
  </r>
  <r>
    <x v="7"/>
    <x v="23"/>
    <x v="0"/>
    <n v="871"/>
    <n v="43957"/>
  </r>
  <r>
    <x v="7"/>
    <x v="21"/>
    <x v="0"/>
    <n v="61"/>
    <n v="7398"/>
  </r>
  <r>
    <x v="7"/>
    <x v="6"/>
    <x v="0"/>
    <n v="64"/>
    <n v="8083"/>
  </r>
  <r>
    <x v="7"/>
    <x v="24"/>
    <x v="0"/>
    <n v="370"/>
    <n v="51355"/>
  </r>
  <r>
    <x v="7"/>
    <x v="28"/>
    <x v="0"/>
    <n v="3430"/>
    <n v="74444"/>
  </r>
  <r>
    <x v="7"/>
    <x v="29"/>
    <x v="0"/>
    <n v="948"/>
    <n v="43718"/>
  </r>
  <r>
    <x v="7"/>
    <x v="17"/>
    <x v="0"/>
    <n v="940"/>
    <n v="99568"/>
  </r>
  <r>
    <x v="7"/>
    <x v="30"/>
    <x v="0"/>
    <n v="3684"/>
    <n v="168326"/>
  </r>
  <r>
    <x v="7"/>
    <x v="8"/>
    <x v="0"/>
    <n v="3"/>
    <n v="2490"/>
  </r>
  <r>
    <x v="7"/>
    <x v="18"/>
    <x v="0"/>
    <n v="843"/>
    <n v="41128"/>
  </r>
  <r>
    <x v="7"/>
    <x v="12"/>
    <x v="0"/>
    <n v="47"/>
    <n v="2889"/>
  </r>
  <r>
    <x v="7"/>
    <x v="19"/>
    <x v="0"/>
    <n v="803"/>
    <n v="46549"/>
  </r>
  <r>
    <x v="7"/>
    <x v="31"/>
    <x v="0"/>
    <n v="2265"/>
    <n v="141368"/>
  </r>
  <r>
    <x v="7"/>
    <x v="32"/>
    <x v="0"/>
    <n v="2844"/>
    <n v="111203"/>
  </r>
  <r>
    <x v="7"/>
    <x v="33"/>
    <x v="0"/>
    <n v="1347"/>
    <n v="225370"/>
  </r>
  <r>
    <x v="7"/>
    <x v="20"/>
    <x v="0"/>
    <n v="262"/>
    <n v="20977"/>
  </r>
  <r>
    <x v="7"/>
    <x v="34"/>
    <x v="0"/>
    <n v="309"/>
    <n v="79819"/>
  </r>
  <r>
    <x v="8"/>
    <x v="25"/>
    <x v="0"/>
    <n v="985"/>
    <n v="42446"/>
  </r>
  <r>
    <x v="8"/>
    <x v="3"/>
    <x v="0"/>
    <n v="93"/>
    <n v="28392"/>
  </r>
  <r>
    <x v="8"/>
    <x v="14"/>
    <x v="0"/>
    <n v="467"/>
    <n v="63454"/>
  </r>
  <r>
    <x v="8"/>
    <x v="15"/>
    <x v="0"/>
    <n v="30"/>
    <n v="1252"/>
  </r>
  <r>
    <x v="8"/>
    <x v="4"/>
    <x v="0"/>
    <n v="500"/>
    <n v="24772"/>
  </r>
  <r>
    <x v="8"/>
    <x v="5"/>
    <x v="0"/>
    <n v="4"/>
    <n v="1100"/>
  </r>
  <r>
    <x v="8"/>
    <x v="16"/>
    <x v="0"/>
    <n v="1258"/>
    <n v="18687"/>
  </r>
  <r>
    <x v="8"/>
    <x v="26"/>
    <x v="0"/>
    <n v="153"/>
    <n v="3468"/>
  </r>
  <r>
    <x v="8"/>
    <x v="27"/>
    <x v="0"/>
    <n v="2111"/>
    <n v="92992"/>
  </r>
  <r>
    <x v="8"/>
    <x v="23"/>
    <x v="0"/>
    <n v="670"/>
    <n v="40694"/>
  </r>
  <r>
    <x v="8"/>
    <x v="21"/>
    <x v="0"/>
    <n v="73"/>
    <n v="6044"/>
  </r>
  <r>
    <x v="8"/>
    <x v="6"/>
    <x v="0"/>
    <n v="110"/>
    <n v="4076"/>
  </r>
  <r>
    <x v="8"/>
    <x v="24"/>
    <x v="0"/>
    <n v="293"/>
    <n v="26077"/>
  </r>
  <r>
    <x v="8"/>
    <x v="28"/>
    <x v="0"/>
    <n v="4381"/>
    <n v="83147"/>
  </r>
  <r>
    <x v="8"/>
    <x v="29"/>
    <x v="0"/>
    <n v="1107"/>
    <n v="43996"/>
  </r>
  <r>
    <x v="8"/>
    <x v="17"/>
    <x v="0"/>
    <n v="901"/>
    <n v="110877"/>
  </r>
  <r>
    <x v="8"/>
    <x v="30"/>
    <x v="0"/>
    <n v="4775"/>
    <n v="134502"/>
  </r>
  <r>
    <x v="8"/>
    <x v="8"/>
    <x v="0"/>
    <n v="4"/>
    <n v="3649"/>
  </r>
  <r>
    <x v="8"/>
    <x v="18"/>
    <x v="0"/>
    <n v="939"/>
    <n v="26693"/>
  </r>
  <r>
    <x v="8"/>
    <x v="12"/>
    <x v="0"/>
    <n v="81"/>
    <n v="2589"/>
  </r>
  <r>
    <x v="8"/>
    <x v="19"/>
    <x v="0"/>
    <n v="450"/>
    <n v="35287"/>
  </r>
  <r>
    <x v="8"/>
    <x v="31"/>
    <x v="0"/>
    <n v="2119"/>
    <n v="61061"/>
  </r>
  <r>
    <x v="8"/>
    <x v="32"/>
    <x v="0"/>
    <n v="3236"/>
    <n v="83485"/>
  </r>
  <r>
    <x v="8"/>
    <x v="33"/>
    <x v="0"/>
    <n v="1371"/>
    <n v="268713"/>
  </r>
  <r>
    <x v="8"/>
    <x v="20"/>
    <x v="0"/>
    <n v="229"/>
    <n v="12632"/>
  </r>
  <r>
    <x v="8"/>
    <x v="34"/>
    <x v="0"/>
    <n v="285"/>
    <n v="73989"/>
  </r>
  <r>
    <x v="9"/>
    <x v="25"/>
    <x v="0"/>
    <n v="1671"/>
    <n v="59712"/>
  </r>
  <r>
    <x v="9"/>
    <x v="3"/>
    <x v="0"/>
    <n v="92"/>
    <n v="26097"/>
  </r>
  <r>
    <x v="9"/>
    <x v="14"/>
    <x v="0"/>
    <n v="409"/>
    <n v="51380"/>
  </r>
  <r>
    <x v="9"/>
    <x v="15"/>
    <x v="0"/>
    <n v="19"/>
    <n v="1291"/>
  </r>
  <r>
    <x v="9"/>
    <x v="4"/>
    <x v="0"/>
    <n v="595"/>
    <n v="31989"/>
  </r>
  <r>
    <x v="9"/>
    <x v="5"/>
    <x v="0"/>
    <n v="6"/>
    <n v="758"/>
  </r>
  <r>
    <x v="9"/>
    <x v="16"/>
    <x v="0"/>
    <n v="1762"/>
    <n v="24615"/>
  </r>
  <r>
    <x v="9"/>
    <x v="26"/>
    <x v="0"/>
    <n v="194"/>
    <n v="3015"/>
  </r>
  <r>
    <x v="9"/>
    <x v="27"/>
    <x v="0"/>
    <n v="2191"/>
    <n v="58107"/>
  </r>
  <r>
    <x v="9"/>
    <x v="23"/>
    <x v="0"/>
    <n v="597"/>
    <n v="28339"/>
  </r>
  <r>
    <x v="9"/>
    <x v="21"/>
    <x v="0"/>
    <n v="22"/>
    <n v="3490"/>
  </r>
  <r>
    <x v="9"/>
    <x v="6"/>
    <x v="0"/>
    <n v="76"/>
    <n v="3561"/>
  </r>
  <r>
    <x v="9"/>
    <x v="24"/>
    <x v="0"/>
    <n v="240"/>
    <n v="24613"/>
  </r>
  <r>
    <x v="9"/>
    <x v="28"/>
    <x v="0"/>
    <n v="4386"/>
    <n v="74134"/>
  </r>
  <r>
    <x v="9"/>
    <x v="29"/>
    <x v="0"/>
    <n v="1399"/>
    <n v="45699"/>
  </r>
  <r>
    <x v="9"/>
    <x v="7"/>
    <x v="0"/>
    <n v="6"/>
    <n v="20"/>
  </r>
  <r>
    <x v="9"/>
    <x v="17"/>
    <x v="0"/>
    <n v="862"/>
    <n v="75043"/>
  </r>
  <r>
    <x v="9"/>
    <x v="30"/>
    <x v="0"/>
    <n v="5138"/>
    <n v="136937"/>
  </r>
  <r>
    <x v="9"/>
    <x v="8"/>
    <x v="0"/>
    <n v="5"/>
    <n v="3660"/>
  </r>
  <r>
    <x v="9"/>
    <x v="18"/>
    <x v="0"/>
    <n v="1333"/>
    <n v="45749"/>
  </r>
  <r>
    <x v="9"/>
    <x v="12"/>
    <x v="0"/>
    <n v="94"/>
    <n v="4044"/>
  </r>
  <r>
    <x v="9"/>
    <x v="19"/>
    <x v="0"/>
    <n v="552"/>
    <n v="28295"/>
  </r>
  <r>
    <x v="9"/>
    <x v="31"/>
    <x v="0"/>
    <n v="2359"/>
    <n v="50153"/>
  </r>
  <r>
    <x v="9"/>
    <x v="32"/>
    <x v="0"/>
    <n v="4233"/>
    <n v="124399"/>
  </r>
  <r>
    <x v="9"/>
    <x v="13"/>
    <x v="0"/>
    <n v="5"/>
    <n v="3043"/>
  </r>
  <r>
    <x v="9"/>
    <x v="33"/>
    <x v="0"/>
    <n v="1322"/>
    <n v="168934"/>
  </r>
  <r>
    <x v="9"/>
    <x v="20"/>
    <x v="0"/>
    <n v="184"/>
    <n v="10413"/>
  </r>
  <r>
    <x v="9"/>
    <x v="34"/>
    <x v="0"/>
    <n v="370"/>
    <n v="61071"/>
  </r>
  <r>
    <x v="10"/>
    <x v="25"/>
    <x v="0"/>
    <n v="2284"/>
    <n v="52013"/>
  </r>
  <r>
    <x v="10"/>
    <x v="3"/>
    <x v="0"/>
    <n v="108"/>
    <n v="25414"/>
  </r>
  <r>
    <x v="10"/>
    <x v="14"/>
    <x v="0"/>
    <n v="495"/>
    <n v="59758"/>
  </r>
  <r>
    <x v="10"/>
    <x v="15"/>
    <x v="0"/>
    <n v="22"/>
    <n v="1184"/>
  </r>
  <r>
    <x v="10"/>
    <x v="4"/>
    <x v="0"/>
    <n v="635"/>
    <n v="28508"/>
  </r>
  <r>
    <x v="10"/>
    <x v="5"/>
    <x v="0"/>
    <n v="4"/>
    <n v="817"/>
  </r>
  <r>
    <x v="10"/>
    <x v="16"/>
    <x v="0"/>
    <n v="2384"/>
    <n v="25413"/>
  </r>
  <r>
    <x v="10"/>
    <x v="26"/>
    <x v="0"/>
    <n v="267"/>
    <n v="3248"/>
  </r>
  <r>
    <x v="10"/>
    <x v="27"/>
    <x v="0"/>
    <n v="2613"/>
    <n v="68658"/>
  </r>
  <r>
    <x v="10"/>
    <x v="23"/>
    <x v="0"/>
    <n v="677"/>
    <n v="25667"/>
  </r>
  <r>
    <x v="10"/>
    <x v="21"/>
    <x v="0"/>
    <n v="57"/>
    <n v="4041"/>
  </r>
  <r>
    <x v="10"/>
    <x v="6"/>
    <x v="0"/>
    <n v="101"/>
    <n v="4836"/>
  </r>
  <r>
    <x v="10"/>
    <x v="24"/>
    <x v="0"/>
    <n v="338"/>
    <n v="27174"/>
  </r>
  <r>
    <x v="10"/>
    <x v="28"/>
    <x v="0"/>
    <n v="5593"/>
    <n v="75612"/>
  </r>
  <r>
    <x v="10"/>
    <x v="29"/>
    <x v="0"/>
    <n v="1737"/>
    <n v="41273"/>
  </r>
  <r>
    <x v="10"/>
    <x v="17"/>
    <x v="0"/>
    <n v="974"/>
    <n v="69322"/>
  </r>
  <r>
    <x v="10"/>
    <x v="30"/>
    <x v="0"/>
    <n v="6871"/>
    <n v="116043"/>
  </r>
  <r>
    <x v="10"/>
    <x v="8"/>
    <x v="0"/>
    <n v="3"/>
    <n v="4773"/>
  </r>
  <r>
    <x v="10"/>
    <x v="18"/>
    <x v="0"/>
    <n v="1266"/>
    <n v="41856"/>
  </r>
  <r>
    <x v="10"/>
    <x v="12"/>
    <x v="0"/>
    <n v="117"/>
    <n v="3410"/>
  </r>
  <r>
    <x v="10"/>
    <x v="19"/>
    <x v="0"/>
    <n v="296"/>
    <n v="24506"/>
  </r>
  <r>
    <x v="10"/>
    <x v="31"/>
    <x v="0"/>
    <n v="2563"/>
    <n v="56168"/>
  </r>
  <r>
    <x v="10"/>
    <x v="32"/>
    <x v="0"/>
    <n v="4506"/>
    <n v="108851"/>
  </r>
  <r>
    <x v="10"/>
    <x v="13"/>
    <x v="0"/>
    <n v="3"/>
    <n v="2705"/>
  </r>
  <r>
    <x v="10"/>
    <x v="33"/>
    <x v="0"/>
    <n v="1202"/>
    <n v="163699"/>
  </r>
  <r>
    <x v="10"/>
    <x v="20"/>
    <x v="0"/>
    <n v="223"/>
    <n v="9283"/>
  </r>
  <r>
    <x v="10"/>
    <x v="34"/>
    <x v="0"/>
    <n v="383"/>
    <n v="56937"/>
  </r>
  <r>
    <x v="11"/>
    <x v="25"/>
    <x v="0"/>
    <n v="3169"/>
    <n v="51588"/>
  </r>
  <r>
    <x v="11"/>
    <x v="3"/>
    <x v="0"/>
    <n v="179"/>
    <n v="29698"/>
  </r>
  <r>
    <x v="11"/>
    <x v="14"/>
    <x v="0"/>
    <n v="1328"/>
    <n v="85165"/>
  </r>
  <r>
    <x v="11"/>
    <x v="15"/>
    <x v="0"/>
    <n v="55"/>
    <n v="1883"/>
  </r>
  <r>
    <x v="11"/>
    <x v="4"/>
    <x v="0"/>
    <n v="959"/>
    <n v="31244"/>
  </r>
  <r>
    <x v="11"/>
    <x v="5"/>
    <x v="0"/>
    <n v="5"/>
    <n v="757"/>
  </r>
  <r>
    <x v="11"/>
    <x v="16"/>
    <x v="0"/>
    <n v="3491"/>
    <n v="28871"/>
  </r>
  <r>
    <x v="11"/>
    <x v="26"/>
    <x v="0"/>
    <n v="235"/>
    <n v="4381"/>
  </r>
  <r>
    <x v="11"/>
    <x v="27"/>
    <x v="0"/>
    <n v="4507"/>
    <n v="79333"/>
  </r>
  <r>
    <x v="11"/>
    <x v="23"/>
    <x v="0"/>
    <n v="1025"/>
    <n v="30295"/>
  </r>
  <r>
    <x v="11"/>
    <x v="21"/>
    <x v="0"/>
    <n v="61"/>
    <n v="3565"/>
  </r>
  <r>
    <x v="11"/>
    <x v="6"/>
    <x v="0"/>
    <n v="227"/>
    <n v="5680"/>
  </r>
  <r>
    <x v="11"/>
    <x v="24"/>
    <x v="0"/>
    <n v="607"/>
    <n v="38435"/>
  </r>
  <r>
    <x v="11"/>
    <x v="28"/>
    <x v="0"/>
    <n v="7288"/>
    <n v="91537"/>
  </r>
  <r>
    <x v="11"/>
    <x v="29"/>
    <x v="0"/>
    <n v="2880"/>
    <n v="50610"/>
  </r>
  <r>
    <x v="11"/>
    <x v="17"/>
    <x v="0"/>
    <n v="1580"/>
    <n v="76256"/>
  </r>
  <r>
    <x v="11"/>
    <x v="30"/>
    <x v="0"/>
    <n v="9687"/>
    <n v="130070"/>
  </r>
  <r>
    <x v="11"/>
    <x v="8"/>
    <x v="0"/>
    <n v="2"/>
    <n v="3508"/>
  </r>
  <r>
    <x v="11"/>
    <x v="18"/>
    <x v="0"/>
    <n v="2363"/>
    <n v="47801"/>
  </r>
  <r>
    <x v="11"/>
    <x v="12"/>
    <x v="0"/>
    <n v="181"/>
    <n v="3913"/>
  </r>
  <r>
    <x v="11"/>
    <x v="19"/>
    <x v="0"/>
    <n v="716"/>
    <n v="31497"/>
  </r>
  <r>
    <x v="11"/>
    <x v="31"/>
    <x v="0"/>
    <n v="3080"/>
    <n v="60106"/>
  </r>
  <r>
    <x v="11"/>
    <x v="32"/>
    <x v="0"/>
    <n v="7708"/>
    <n v="124272"/>
  </r>
  <r>
    <x v="11"/>
    <x v="13"/>
    <x v="0"/>
    <n v="18"/>
    <n v="3504"/>
  </r>
  <r>
    <x v="11"/>
    <x v="33"/>
    <x v="0"/>
    <n v="1986"/>
    <n v="180927"/>
  </r>
  <r>
    <x v="11"/>
    <x v="20"/>
    <x v="0"/>
    <n v="435"/>
    <n v="11692"/>
  </r>
  <r>
    <x v="11"/>
    <x v="34"/>
    <x v="0"/>
    <n v="626"/>
    <n v="73783"/>
  </r>
  <r>
    <x v="12"/>
    <x v="25"/>
    <x v="0"/>
    <n v="2745"/>
    <n v="56529"/>
  </r>
  <r>
    <x v="12"/>
    <x v="3"/>
    <x v="0"/>
    <n v="168"/>
    <n v="26813"/>
  </r>
  <r>
    <x v="12"/>
    <x v="14"/>
    <x v="0"/>
    <n v="475"/>
    <n v="82418"/>
  </r>
  <r>
    <x v="12"/>
    <x v="15"/>
    <x v="0"/>
    <n v="63"/>
    <n v="1881"/>
  </r>
  <r>
    <x v="12"/>
    <x v="4"/>
    <x v="0"/>
    <n v="1397"/>
    <n v="30843"/>
  </r>
  <r>
    <x v="12"/>
    <x v="5"/>
    <x v="0"/>
    <n v="4"/>
    <n v="804"/>
  </r>
  <r>
    <x v="12"/>
    <x v="16"/>
    <x v="0"/>
    <n v="2832"/>
    <n v="32226"/>
  </r>
  <r>
    <x v="12"/>
    <x v="26"/>
    <x v="0"/>
    <n v="377"/>
    <n v="3817"/>
  </r>
  <r>
    <x v="12"/>
    <x v="27"/>
    <x v="0"/>
    <n v="6695"/>
    <n v="88648"/>
  </r>
  <r>
    <x v="12"/>
    <x v="23"/>
    <x v="0"/>
    <n v="1215"/>
    <n v="30558"/>
  </r>
  <r>
    <x v="12"/>
    <x v="21"/>
    <x v="0"/>
    <n v="97"/>
    <n v="4637"/>
  </r>
  <r>
    <x v="12"/>
    <x v="6"/>
    <x v="0"/>
    <n v="125"/>
    <n v="8306"/>
  </r>
  <r>
    <x v="12"/>
    <x v="24"/>
    <x v="0"/>
    <n v="450"/>
    <n v="35590"/>
  </r>
  <r>
    <x v="12"/>
    <x v="28"/>
    <x v="0"/>
    <n v="8814"/>
    <n v="100400"/>
  </r>
  <r>
    <x v="12"/>
    <x v="29"/>
    <x v="0"/>
    <n v="2908"/>
    <n v="41859"/>
  </r>
  <r>
    <x v="12"/>
    <x v="17"/>
    <x v="0"/>
    <n v="1337"/>
    <n v="75144"/>
  </r>
  <r>
    <x v="12"/>
    <x v="30"/>
    <x v="0"/>
    <n v="7375"/>
    <n v="135969"/>
  </r>
  <r>
    <x v="12"/>
    <x v="9"/>
    <x v="0"/>
    <n v="5"/>
    <n v="1472"/>
  </r>
  <r>
    <x v="12"/>
    <x v="11"/>
    <x v="0"/>
    <n v="2"/>
    <n v="444"/>
  </r>
  <r>
    <x v="12"/>
    <x v="18"/>
    <x v="0"/>
    <n v="2261"/>
    <n v="44330"/>
  </r>
  <r>
    <x v="12"/>
    <x v="12"/>
    <x v="0"/>
    <n v="82"/>
    <n v="3044"/>
  </r>
  <r>
    <x v="12"/>
    <x v="19"/>
    <x v="0"/>
    <n v="817"/>
    <n v="29934"/>
  </r>
  <r>
    <x v="12"/>
    <x v="31"/>
    <x v="0"/>
    <n v="3771"/>
    <n v="70039"/>
  </r>
  <r>
    <x v="12"/>
    <x v="32"/>
    <x v="0"/>
    <n v="5425"/>
    <n v="106643"/>
  </r>
  <r>
    <x v="12"/>
    <x v="13"/>
    <x v="0"/>
    <n v="20"/>
    <n v="2797"/>
  </r>
  <r>
    <x v="12"/>
    <x v="33"/>
    <x v="0"/>
    <n v="2397"/>
    <n v="225079"/>
  </r>
  <r>
    <x v="12"/>
    <x v="20"/>
    <x v="0"/>
    <n v="602"/>
    <n v="12989"/>
  </r>
  <r>
    <x v="12"/>
    <x v="34"/>
    <x v="0"/>
    <n v="815"/>
    <n v="68909"/>
  </r>
  <r>
    <x v="13"/>
    <x v="25"/>
    <x v="0"/>
    <n v="1615"/>
    <n v="48041"/>
  </r>
  <r>
    <x v="13"/>
    <x v="3"/>
    <x v="0"/>
    <n v="112"/>
    <n v="28739"/>
  </r>
  <r>
    <x v="13"/>
    <x v="14"/>
    <x v="0"/>
    <n v="458"/>
    <n v="113034"/>
  </r>
  <r>
    <x v="13"/>
    <x v="15"/>
    <x v="0"/>
    <n v="44"/>
    <n v="1797"/>
  </r>
  <r>
    <x v="13"/>
    <x v="4"/>
    <x v="0"/>
    <n v="834"/>
    <n v="28821"/>
  </r>
  <r>
    <x v="13"/>
    <x v="5"/>
    <x v="0"/>
    <n v="6"/>
    <n v="790"/>
  </r>
  <r>
    <x v="13"/>
    <x v="16"/>
    <x v="0"/>
    <n v="1760"/>
    <n v="28897"/>
  </r>
  <r>
    <x v="13"/>
    <x v="26"/>
    <x v="0"/>
    <n v="453"/>
    <n v="3338"/>
  </r>
  <r>
    <x v="13"/>
    <x v="27"/>
    <x v="0"/>
    <n v="4408"/>
    <n v="68621"/>
  </r>
  <r>
    <x v="13"/>
    <x v="23"/>
    <x v="0"/>
    <n v="1178"/>
    <n v="32009"/>
  </r>
  <r>
    <x v="13"/>
    <x v="21"/>
    <x v="0"/>
    <n v="73"/>
    <n v="5131"/>
  </r>
  <r>
    <x v="13"/>
    <x v="6"/>
    <x v="0"/>
    <n v="124"/>
    <n v="9505"/>
  </r>
  <r>
    <x v="13"/>
    <x v="24"/>
    <x v="0"/>
    <n v="431"/>
    <n v="39317"/>
  </r>
  <r>
    <x v="13"/>
    <x v="28"/>
    <x v="0"/>
    <n v="5947"/>
    <n v="84301"/>
  </r>
  <r>
    <x v="13"/>
    <x v="29"/>
    <x v="0"/>
    <n v="2373"/>
    <n v="40514"/>
  </r>
  <r>
    <x v="13"/>
    <x v="17"/>
    <x v="0"/>
    <n v="1310"/>
    <n v="94602"/>
  </r>
  <r>
    <x v="13"/>
    <x v="30"/>
    <x v="0"/>
    <n v="8914"/>
    <n v="123203"/>
  </r>
  <r>
    <x v="13"/>
    <x v="8"/>
    <x v="0"/>
    <n v="2"/>
    <n v="2443"/>
  </r>
  <r>
    <x v="13"/>
    <x v="18"/>
    <x v="0"/>
    <n v="1714"/>
    <n v="38324"/>
  </r>
  <r>
    <x v="13"/>
    <x v="12"/>
    <x v="0"/>
    <n v="65"/>
    <n v="3122"/>
  </r>
  <r>
    <x v="13"/>
    <x v="19"/>
    <x v="0"/>
    <n v="493"/>
    <n v="30377"/>
  </r>
  <r>
    <x v="13"/>
    <x v="31"/>
    <x v="0"/>
    <n v="3701"/>
    <n v="73803"/>
  </r>
  <r>
    <x v="13"/>
    <x v="32"/>
    <x v="0"/>
    <n v="3628"/>
    <n v="102565"/>
  </r>
  <r>
    <x v="13"/>
    <x v="13"/>
    <x v="0"/>
    <n v="14"/>
    <n v="2768"/>
  </r>
  <r>
    <x v="13"/>
    <x v="33"/>
    <x v="0"/>
    <n v="1695"/>
    <n v="273962"/>
  </r>
  <r>
    <x v="13"/>
    <x v="20"/>
    <x v="0"/>
    <n v="377"/>
    <n v="12930"/>
  </r>
  <r>
    <x v="13"/>
    <x v="34"/>
    <x v="0"/>
    <n v="683"/>
    <n v="68721"/>
  </r>
  <r>
    <x v="14"/>
    <x v="25"/>
    <x v="0"/>
    <n v="1733"/>
    <n v="37538"/>
  </r>
  <r>
    <x v="14"/>
    <x v="3"/>
    <x v="0"/>
    <n v="101"/>
    <n v="21695"/>
  </r>
  <r>
    <x v="14"/>
    <x v="14"/>
    <x v="0"/>
    <n v="716"/>
    <n v="79768"/>
  </r>
  <r>
    <x v="14"/>
    <x v="15"/>
    <x v="0"/>
    <n v="63"/>
    <n v="1808"/>
  </r>
  <r>
    <x v="14"/>
    <x v="4"/>
    <x v="0"/>
    <n v="1038"/>
    <n v="28027"/>
  </r>
  <r>
    <x v="14"/>
    <x v="16"/>
    <x v="0"/>
    <n v="2755"/>
    <n v="27696"/>
  </r>
  <r>
    <x v="14"/>
    <x v="26"/>
    <x v="0"/>
    <n v="365"/>
    <n v="3042"/>
  </r>
  <r>
    <x v="14"/>
    <x v="27"/>
    <x v="0"/>
    <n v="5322"/>
    <n v="83549"/>
  </r>
  <r>
    <x v="14"/>
    <x v="23"/>
    <x v="0"/>
    <n v="966"/>
    <n v="30435"/>
  </r>
  <r>
    <x v="14"/>
    <x v="21"/>
    <x v="0"/>
    <n v="104"/>
    <n v="5610"/>
  </r>
  <r>
    <x v="14"/>
    <x v="6"/>
    <x v="0"/>
    <n v="159"/>
    <n v="8064"/>
  </r>
  <r>
    <x v="14"/>
    <x v="24"/>
    <x v="0"/>
    <n v="461"/>
    <n v="32650"/>
  </r>
  <r>
    <x v="14"/>
    <x v="28"/>
    <x v="0"/>
    <n v="6800"/>
    <n v="91707"/>
  </r>
  <r>
    <x v="14"/>
    <x v="29"/>
    <x v="0"/>
    <n v="2568"/>
    <n v="44015"/>
  </r>
  <r>
    <x v="14"/>
    <x v="7"/>
    <x v="0"/>
    <n v="14"/>
    <n v="590"/>
  </r>
  <r>
    <x v="14"/>
    <x v="17"/>
    <x v="0"/>
    <n v="1434"/>
    <n v="83413"/>
  </r>
  <r>
    <x v="14"/>
    <x v="30"/>
    <x v="0"/>
    <n v="7880"/>
    <n v="115725"/>
  </r>
  <r>
    <x v="14"/>
    <x v="8"/>
    <x v="0"/>
    <n v="13"/>
    <n v="3391"/>
  </r>
  <r>
    <x v="14"/>
    <x v="9"/>
    <x v="0"/>
    <n v="2"/>
    <n v="1291"/>
  </r>
  <r>
    <x v="14"/>
    <x v="10"/>
    <x v="0"/>
    <n v="2"/>
    <n v="1750"/>
  </r>
  <r>
    <x v="14"/>
    <x v="18"/>
    <x v="0"/>
    <n v="1693"/>
    <n v="39143"/>
  </r>
  <r>
    <x v="14"/>
    <x v="12"/>
    <x v="0"/>
    <n v="85"/>
    <n v="3331"/>
  </r>
  <r>
    <x v="14"/>
    <x v="19"/>
    <x v="0"/>
    <n v="514"/>
    <n v="28256"/>
  </r>
  <r>
    <x v="14"/>
    <x v="31"/>
    <x v="0"/>
    <n v="3427"/>
    <n v="58281"/>
  </r>
  <r>
    <x v="14"/>
    <x v="32"/>
    <x v="0"/>
    <n v="3749"/>
    <n v="110740"/>
  </r>
  <r>
    <x v="14"/>
    <x v="13"/>
    <x v="0"/>
    <n v="21"/>
    <n v="2761"/>
  </r>
  <r>
    <x v="14"/>
    <x v="33"/>
    <x v="0"/>
    <n v="1361"/>
    <n v="198411"/>
  </r>
  <r>
    <x v="14"/>
    <x v="20"/>
    <x v="0"/>
    <n v="374"/>
    <n v="13121"/>
  </r>
  <r>
    <x v="14"/>
    <x v="34"/>
    <x v="0"/>
    <n v="660"/>
    <n v="67878"/>
  </r>
  <r>
    <x v="15"/>
    <x v="25"/>
    <x v="0"/>
    <n v="1921"/>
    <n v="42632"/>
  </r>
  <r>
    <x v="15"/>
    <x v="3"/>
    <x v="0"/>
    <n v="120"/>
    <n v="26803"/>
  </r>
  <r>
    <x v="15"/>
    <x v="14"/>
    <x v="0"/>
    <n v="638"/>
    <n v="62773"/>
  </r>
  <r>
    <x v="15"/>
    <x v="15"/>
    <x v="0"/>
    <n v="58"/>
    <n v="2086"/>
  </r>
  <r>
    <x v="15"/>
    <x v="4"/>
    <x v="0"/>
    <n v="1309"/>
    <n v="26466"/>
  </r>
  <r>
    <x v="15"/>
    <x v="5"/>
    <x v="0"/>
    <n v="9"/>
    <n v="735"/>
  </r>
  <r>
    <x v="15"/>
    <x v="16"/>
    <x v="0"/>
    <n v="2658"/>
    <n v="30654"/>
  </r>
  <r>
    <x v="15"/>
    <x v="26"/>
    <x v="0"/>
    <n v="579"/>
    <n v="2801"/>
  </r>
  <r>
    <x v="15"/>
    <x v="27"/>
    <x v="0"/>
    <n v="5592"/>
    <n v="83341"/>
  </r>
  <r>
    <x v="15"/>
    <x v="23"/>
    <x v="0"/>
    <n v="710"/>
    <n v="30657"/>
  </r>
  <r>
    <x v="15"/>
    <x v="21"/>
    <x v="0"/>
    <n v="92"/>
    <n v="5377"/>
  </r>
  <r>
    <x v="15"/>
    <x v="6"/>
    <x v="0"/>
    <n v="316"/>
    <n v="8717"/>
  </r>
  <r>
    <x v="15"/>
    <x v="24"/>
    <x v="0"/>
    <n v="589"/>
    <n v="32122"/>
  </r>
  <r>
    <x v="15"/>
    <x v="28"/>
    <x v="0"/>
    <n v="5689"/>
    <n v="77333"/>
  </r>
  <r>
    <x v="15"/>
    <x v="29"/>
    <x v="0"/>
    <n v="1964"/>
    <n v="37691"/>
  </r>
  <r>
    <x v="15"/>
    <x v="17"/>
    <x v="0"/>
    <n v="1722"/>
    <n v="81579"/>
  </r>
  <r>
    <x v="15"/>
    <x v="30"/>
    <x v="0"/>
    <n v="8446"/>
    <n v="111895"/>
  </r>
  <r>
    <x v="15"/>
    <x v="8"/>
    <x v="0"/>
    <n v="21"/>
    <n v="4103"/>
  </r>
  <r>
    <x v="15"/>
    <x v="9"/>
    <x v="0"/>
    <n v="3"/>
    <n v="1363"/>
  </r>
  <r>
    <x v="15"/>
    <x v="18"/>
    <x v="0"/>
    <n v="1816"/>
    <n v="32549"/>
  </r>
  <r>
    <x v="15"/>
    <x v="12"/>
    <x v="0"/>
    <n v="71"/>
    <n v="3298"/>
  </r>
  <r>
    <x v="15"/>
    <x v="19"/>
    <x v="0"/>
    <n v="603"/>
    <n v="27082"/>
  </r>
  <r>
    <x v="15"/>
    <x v="31"/>
    <x v="0"/>
    <n v="4574"/>
    <n v="63752"/>
  </r>
  <r>
    <x v="15"/>
    <x v="32"/>
    <x v="0"/>
    <n v="4180"/>
    <n v="103800"/>
  </r>
  <r>
    <x v="15"/>
    <x v="13"/>
    <x v="0"/>
    <n v="2"/>
    <n v="2632"/>
  </r>
  <r>
    <x v="15"/>
    <x v="33"/>
    <x v="0"/>
    <n v="1828"/>
    <n v="153826"/>
  </r>
  <r>
    <x v="15"/>
    <x v="20"/>
    <x v="0"/>
    <n v="404"/>
    <n v="12603"/>
  </r>
  <r>
    <x v="15"/>
    <x v="34"/>
    <x v="0"/>
    <n v="689"/>
    <n v="62610"/>
  </r>
  <r>
    <x v="16"/>
    <x v="25"/>
    <x v="0"/>
    <n v="1898"/>
    <n v="54365"/>
  </r>
  <r>
    <x v="16"/>
    <x v="3"/>
    <x v="0"/>
    <n v="202"/>
    <n v="27466"/>
  </r>
  <r>
    <x v="16"/>
    <x v="14"/>
    <x v="0"/>
    <n v="849"/>
    <n v="64565"/>
  </r>
  <r>
    <x v="16"/>
    <x v="15"/>
    <x v="0"/>
    <n v="59"/>
    <n v="1896"/>
  </r>
  <r>
    <x v="16"/>
    <x v="4"/>
    <x v="0"/>
    <n v="1360"/>
    <n v="23146"/>
  </r>
  <r>
    <x v="16"/>
    <x v="5"/>
    <x v="0"/>
    <n v="6"/>
    <n v="742"/>
  </r>
  <r>
    <x v="16"/>
    <x v="16"/>
    <x v="0"/>
    <n v="3259"/>
    <n v="31869"/>
  </r>
  <r>
    <x v="16"/>
    <x v="26"/>
    <x v="0"/>
    <n v="303"/>
    <n v="4503"/>
  </r>
  <r>
    <x v="16"/>
    <x v="27"/>
    <x v="0"/>
    <n v="5059"/>
    <n v="74982"/>
  </r>
  <r>
    <x v="16"/>
    <x v="23"/>
    <x v="0"/>
    <n v="915"/>
    <n v="33336"/>
  </r>
  <r>
    <x v="16"/>
    <x v="21"/>
    <x v="0"/>
    <n v="59"/>
    <n v="5281"/>
  </r>
  <r>
    <x v="16"/>
    <x v="6"/>
    <x v="0"/>
    <n v="182"/>
    <n v="9131"/>
  </r>
  <r>
    <x v="16"/>
    <x v="24"/>
    <x v="0"/>
    <n v="561"/>
    <n v="25332"/>
  </r>
  <r>
    <x v="16"/>
    <x v="28"/>
    <x v="0"/>
    <n v="7476"/>
    <n v="88611"/>
  </r>
  <r>
    <x v="16"/>
    <x v="29"/>
    <x v="0"/>
    <n v="3069"/>
    <n v="50954"/>
  </r>
  <r>
    <x v="16"/>
    <x v="17"/>
    <x v="0"/>
    <n v="1931"/>
    <n v="98165"/>
  </r>
  <r>
    <x v="16"/>
    <x v="30"/>
    <x v="0"/>
    <n v="9723"/>
    <n v="118886"/>
  </r>
  <r>
    <x v="16"/>
    <x v="8"/>
    <x v="0"/>
    <n v="8"/>
    <n v="3647"/>
  </r>
  <r>
    <x v="16"/>
    <x v="9"/>
    <x v="0"/>
    <n v="2"/>
    <n v="1734"/>
  </r>
  <r>
    <x v="16"/>
    <x v="10"/>
    <x v="0"/>
    <n v="6"/>
    <n v="2062"/>
  </r>
  <r>
    <x v="16"/>
    <x v="18"/>
    <x v="0"/>
    <n v="2007"/>
    <n v="30540"/>
  </r>
  <r>
    <x v="16"/>
    <x v="12"/>
    <x v="0"/>
    <n v="91"/>
    <n v="3810"/>
  </r>
  <r>
    <x v="16"/>
    <x v="19"/>
    <x v="0"/>
    <n v="645"/>
    <n v="32591"/>
  </r>
  <r>
    <x v="16"/>
    <x v="31"/>
    <x v="0"/>
    <n v="4159"/>
    <n v="60191"/>
  </r>
  <r>
    <x v="16"/>
    <x v="32"/>
    <x v="0"/>
    <n v="5306"/>
    <n v="120312"/>
  </r>
  <r>
    <x v="16"/>
    <x v="13"/>
    <x v="0"/>
    <n v="14"/>
    <n v="2643"/>
  </r>
  <r>
    <x v="16"/>
    <x v="33"/>
    <x v="0"/>
    <n v="1920"/>
    <n v="131703"/>
  </r>
  <r>
    <x v="16"/>
    <x v="20"/>
    <x v="0"/>
    <n v="494"/>
    <n v="12711"/>
  </r>
  <r>
    <x v="16"/>
    <x v="34"/>
    <x v="0"/>
    <n v="663"/>
    <n v="62200"/>
  </r>
  <r>
    <x v="17"/>
    <x v="25"/>
    <x v="0"/>
    <n v="2239"/>
    <n v="52804"/>
  </r>
  <r>
    <x v="17"/>
    <x v="3"/>
    <x v="0"/>
    <n v="200"/>
    <n v="31729"/>
  </r>
  <r>
    <x v="17"/>
    <x v="14"/>
    <x v="0"/>
    <n v="951"/>
    <n v="54364"/>
  </r>
  <r>
    <x v="17"/>
    <x v="15"/>
    <x v="0"/>
    <n v="70"/>
    <n v="1929"/>
  </r>
  <r>
    <x v="17"/>
    <x v="4"/>
    <x v="0"/>
    <n v="1190"/>
    <n v="23465"/>
  </r>
  <r>
    <x v="17"/>
    <x v="5"/>
    <x v="0"/>
    <n v="8"/>
    <n v="629"/>
  </r>
  <r>
    <x v="17"/>
    <x v="16"/>
    <x v="0"/>
    <n v="2301"/>
    <n v="25409"/>
  </r>
  <r>
    <x v="17"/>
    <x v="26"/>
    <x v="0"/>
    <n v="400"/>
    <n v="4078"/>
  </r>
  <r>
    <x v="17"/>
    <x v="27"/>
    <x v="0"/>
    <n v="5333"/>
    <n v="77920"/>
  </r>
  <r>
    <x v="17"/>
    <x v="23"/>
    <x v="0"/>
    <n v="848"/>
    <n v="25832"/>
  </r>
  <r>
    <x v="17"/>
    <x v="21"/>
    <x v="0"/>
    <n v="67"/>
    <n v="4101"/>
  </r>
  <r>
    <x v="17"/>
    <x v="6"/>
    <x v="0"/>
    <n v="220"/>
    <n v="8320"/>
  </r>
  <r>
    <x v="17"/>
    <x v="24"/>
    <x v="0"/>
    <n v="498"/>
    <n v="23758"/>
  </r>
  <r>
    <x v="17"/>
    <x v="28"/>
    <x v="0"/>
    <n v="7616"/>
    <n v="87981"/>
  </r>
  <r>
    <x v="17"/>
    <x v="29"/>
    <x v="0"/>
    <n v="3100"/>
    <n v="53877"/>
  </r>
  <r>
    <x v="17"/>
    <x v="17"/>
    <x v="0"/>
    <n v="1898"/>
    <n v="53245"/>
  </r>
  <r>
    <x v="17"/>
    <x v="30"/>
    <x v="0"/>
    <n v="10730"/>
    <n v="122642"/>
  </r>
  <r>
    <x v="17"/>
    <x v="10"/>
    <x v="0"/>
    <n v="4"/>
    <n v="1568"/>
  </r>
  <r>
    <x v="17"/>
    <x v="18"/>
    <x v="0"/>
    <n v="2197"/>
    <n v="36139"/>
  </r>
  <r>
    <x v="17"/>
    <x v="12"/>
    <x v="0"/>
    <n v="114"/>
    <n v="3772"/>
  </r>
  <r>
    <x v="17"/>
    <x v="19"/>
    <x v="0"/>
    <n v="590"/>
    <n v="27407"/>
  </r>
  <r>
    <x v="17"/>
    <x v="31"/>
    <x v="0"/>
    <n v="4677"/>
    <n v="53951"/>
  </r>
  <r>
    <x v="17"/>
    <x v="32"/>
    <x v="0"/>
    <n v="5112"/>
    <n v="121791"/>
  </r>
  <r>
    <x v="17"/>
    <x v="13"/>
    <x v="0"/>
    <n v="17"/>
    <n v="3842"/>
  </r>
  <r>
    <x v="17"/>
    <x v="33"/>
    <x v="0"/>
    <n v="1787"/>
    <n v="97293"/>
  </r>
  <r>
    <x v="17"/>
    <x v="20"/>
    <x v="0"/>
    <n v="386"/>
    <n v="9325"/>
  </r>
  <r>
    <x v="17"/>
    <x v="34"/>
    <x v="0"/>
    <n v="727"/>
    <n v="64255"/>
  </r>
  <r>
    <x v="18"/>
    <x v="25"/>
    <x v="0"/>
    <n v="2568"/>
    <n v="74374"/>
  </r>
  <r>
    <x v="18"/>
    <x v="3"/>
    <x v="0"/>
    <n v="194"/>
    <n v="38033"/>
  </r>
  <r>
    <x v="18"/>
    <x v="14"/>
    <x v="0"/>
    <n v="1377"/>
    <n v="88895"/>
  </r>
  <r>
    <x v="18"/>
    <x v="15"/>
    <x v="0"/>
    <n v="118"/>
    <n v="3103"/>
  </r>
  <r>
    <x v="18"/>
    <x v="4"/>
    <x v="0"/>
    <n v="2471"/>
    <n v="57951"/>
  </r>
  <r>
    <x v="18"/>
    <x v="5"/>
    <x v="0"/>
    <n v="5"/>
    <n v="619"/>
  </r>
  <r>
    <x v="18"/>
    <x v="16"/>
    <x v="0"/>
    <n v="3699"/>
    <n v="50702"/>
  </r>
  <r>
    <x v="18"/>
    <x v="26"/>
    <x v="0"/>
    <n v="704"/>
    <n v="6241"/>
  </r>
  <r>
    <x v="18"/>
    <x v="27"/>
    <x v="0"/>
    <n v="6635"/>
    <n v="115540"/>
  </r>
  <r>
    <x v="18"/>
    <x v="23"/>
    <x v="0"/>
    <n v="1313"/>
    <n v="38921"/>
  </r>
  <r>
    <x v="18"/>
    <x v="21"/>
    <x v="0"/>
    <n v="79"/>
    <n v="5548"/>
  </r>
  <r>
    <x v="18"/>
    <x v="6"/>
    <x v="0"/>
    <n v="258"/>
    <n v="9184"/>
  </r>
  <r>
    <x v="18"/>
    <x v="24"/>
    <x v="0"/>
    <n v="949"/>
    <n v="50073"/>
  </r>
  <r>
    <x v="18"/>
    <x v="28"/>
    <x v="0"/>
    <n v="9706"/>
    <n v="117015"/>
  </r>
  <r>
    <x v="18"/>
    <x v="29"/>
    <x v="0"/>
    <n v="3629"/>
    <n v="44021"/>
  </r>
  <r>
    <x v="18"/>
    <x v="17"/>
    <x v="0"/>
    <n v="3616"/>
    <n v="137210"/>
  </r>
  <r>
    <x v="18"/>
    <x v="30"/>
    <x v="0"/>
    <n v="15999"/>
    <n v="189870"/>
  </r>
  <r>
    <x v="18"/>
    <x v="8"/>
    <x v="0"/>
    <n v="4"/>
    <n v="2532"/>
  </r>
  <r>
    <x v="18"/>
    <x v="9"/>
    <x v="0"/>
    <n v="5"/>
    <n v="1558"/>
  </r>
  <r>
    <x v="18"/>
    <x v="10"/>
    <x v="0"/>
    <n v="3"/>
    <n v="1638"/>
  </r>
  <r>
    <x v="18"/>
    <x v="18"/>
    <x v="0"/>
    <n v="3695"/>
    <n v="72161"/>
  </r>
  <r>
    <x v="18"/>
    <x v="12"/>
    <x v="0"/>
    <n v="180"/>
    <n v="3564"/>
  </r>
  <r>
    <x v="18"/>
    <x v="19"/>
    <x v="0"/>
    <n v="707"/>
    <n v="37265"/>
  </r>
  <r>
    <x v="18"/>
    <x v="31"/>
    <x v="0"/>
    <n v="9455"/>
    <n v="133585"/>
  </r>
  <r>
    <x v="18"/>
    <x v="32"/>
    <x v="0"/>
    <n v="5530"/>
    <n v="111507"/>
  </r>
  <r>
    <x v="18"/>
    <x v="13"/>
    <x v="0"/>
    <n v="13"/>
    <n v="3431"/>
  </r>
  <r>
    <x v="18"/>
    <x v="33"/>
    <x v="0"/>
    <n v="3003"/>
    <n v="258110"/>
  </r>
  <r>
    <x v="18"/>
    <x v="20"/>
    <x v="0"/>
    <n v="797"/>
    <n v="19532"/>
  </r>
  <r>
    <x v="18"/>
    <x v="34"/>
    <x v="0"/>
    <n v="538"/>
    <n v="50676"/>
  </r>
  <r>
    <x v="19"/>
    <x v="1"/>
    <x v="0"/>
    <n v="6"/>
    <n v="405"/>
  </r>
  <r>
    <x v="19"/>
    <x v="25"/>
    <x v="0"/>
    <n v="2742"/>
    <n v="69695"/>
  </r>
  <r>
    <x v="19"/>
    <x v="3"/>
    <x v="0"/>
    <n v="176"/>
    <n v="32542"/>
  </r>
  <r>
    <x v="19"/>
    <x v="14"/>
    <x v="0"/>
    <n v="1253"/>
    <n v="110759"/>
  </r>
  <r>
    <x v="19"/>
    <x v="15"/>
    <x v="0"/>
    <n v="163"/>
    <n v="1727"/>
  </r>
  <r>
    <x v="19"/>
    <x v="4"/>
    <x v="0"/>
    <n v="2725"/>
    <n v="42575"/>
  </r>
  <r>
    <x v="19"/>
    <x v="5"/>
    <x v="0"/>
    <n v="14"/>
    <n v="1290"/>
  </r>
  <r>
    <x v="19"/>
    <x v="16"/>
    <x v="0"/>
    <n v="3869"/>
    <n v="41689"/>
  </r>
  <r>
    <x v="19"/>
    <x v="26"/>
    <x v="0"/>
    <n v="587"/>
    <n v="5285"/>
  </r>
  <r>
    <x v="19"/>
    <x v="27"/>
    <x v="0"/>
    <n v="8322"/>
    <n v="165828"/>
  </r>
  <r>
    <x v="19"/>
    <x v="23"/>
    <x v="0"/>
    <n v="1369"/>
    <n v="58469"/>
  </r>
  <r>
    <x v="19"/>
    <x v="21"/>
    <x v="0"/>
    <n v="134"/>
    <n v="9181"/>
  </r>
  <r>
    <x v="19"/>
    <x v="6"/>
    <x v="0"/>
    <n v="194"/>
    <n v="4656"/>
  </r>
  <r>
    <x v="19"/>
    <x v="24"/>
    <x v="0"/>
    <n v="953"/>
    <n v="40248"/>
  </r>
  <r>
    <x v="19"/>
    <x v="28"/>
    <x v="0"/>
    <n v="9851"/>
    <n v="109695"/>
  </r>
  <r>
    <x v="19"/>
    <x v="29"/>
    <x v="0"/>
    <n v="3698"/>
    <n v="40561"/>
  </r>
  <r>
    <x v="19"/>
    <x v="17"/>
    <x v="0"/>
    <n v="3426"/>
    <n v="130285"/>
  </r>
  <r>
    <x v="19"/>
    <x v="30"/>
    <x v="0"/>
    <n v="13718"/>
    <n v="204988"/>
  </r>
  <r>
    <x v="19"/>
    <x v="8"/>
    <x v="0"/>
    <n v="2"/>
    <n v="5529"/>
  </r>
  <r>
    <x v="19"/>
    <x v="9"/>
    <x v="0"/>
    <n v="3"/>
    <n v="1438"/>
  </r>
  <r>
    <x v="19"/>
    <x v="10"/>
    <x v="0"/>
    <n v="8"/>
    <n v="1542"/>
  </r>
  <r>
    <x v="19"/>
    <x v="18"/>
    <x v="0"/>
    <n v="2997"/>
    <n v="38593"/>
  </r>
  <r>
    <x v="19"/>
    <x v="12"/>
    <x v="0"/>
    <n v="153"/>
    <n v="3002"/>
  </r>
  <r>
    <x v="19"/>
    <x v="19"/>
    <x v="0"/>
    <n v="1042"/>
    <n v="46873"/>
  </r>
  <r>
    <x v="19"/>
    <x v="31"/>
    <x v="0"/>
    <n v="7306"/>
    <n v="158463"/>
  </r>
  <r>
    <x v="19"/>
    <x v="32"/>
    <x v="0"/>
    <n v="7258"/>
    <n v="120109"/>
  </r>
  <r>
    <x v="19"/>
    <x v="13"/>
    <x v="0"/>
    <n v="12"/>
    <n v="3427"/>
  </r>
  <r>
    <x v="19"/>
    <x v="33"/>
    <x v="0"/>
    <n v="2746"/>
    <n v="279169"/>
  </r>
  <r>
    <x v="19"/>
    <x v="20"/>
    <x v="0"/>
    <n v="839"/>
    <n v="25037"/>
  </r>
  <r>
    <x v="19"/>
    <x v="34"/>
    <x v="0"/>
    <n v="1209"/>
    <n v="100516"/>
  </r>
  <r>
    <x v="20"/>
    <x v="1"/>
    <x v="0"/>
    <n v="10"/>
    <n v="397"/>
  </r>
  <r>
    <x v="20"/>
    <x v="25"/>
    <x v="0"/>
    <n v="2718"/>
    <n v="47327"/>
  </r>
  <r>
    <x v="20"/>
    <x v="3"/>
    <x v="0"/>
    <n v="250"/>
    <n v="34737"/>
  </r>
  <r>
    <x v="20"/>
    <x v="14"/>
    <x v="0"/>
    <n v="987"/>
    <n v="60432"/>
  </r>
  <r>
    <x v="20"/>
    <x v="15"/>
    <x v="0"/>
    <n v="123"/>
    <n v="1454"/>
  </r>
  <r>
    <x v="20"/>
    <x v="4"/>
    <x v="0"/>
    <n v="1883"/>
    <n v="26359"/>
  </r>
  <r>
    <x v="20"/>
    <x v="5"/>
    <x v="0"/>
    <n v="19"/>
    <n v="1112"/>
  </r>
  <r>
    <x v="20"/>
    <x v="16"/>
    <x v="0"/>
    <n v="3826"/>
    <n v="21773"/>
  </r>
  <r>
    <x v="20"/>
    <x v="26"/>
    <x v="0"/>
    <n v="528"/>
    <n v="4983"/>
  </r>
  <r>
    <x v="20"/>
    <x v="27"/>
    <x v="0"/>
    <n v="7906"/>
    <n v="107138"/>
  </r>
  <r>
    <x v="20"/>
    <x v="23"/>
    <x v="0"/>
    <n v="885"/>
    <n v="37571"/>
  </r>
  <r>
    <x v="20"/>
    <x v="21"/>
    <x v="0"/>
    <n v="100"/>
    <n v="6751"/>
  </r>
  <r>
    <x v="20"/>
    <x v="6"/>
    <x v="0"/>
    <n v="150"/>
    <n v="3943"/>
  </r>
  <r>
    <x v="20"/>
    <x v="24"/>
    <x v="0"/>
    <n v="653"/>
    <n v="27130"/>
  </r>
  <r>
    <x v="20"/>
    <x v="28"/>
    <x v="0"/>
    <n v="7750"/>
    <n v="75110"/>
  </r>
  <r>
    <x v="20"/>
    <x v="29"/>
    <x v="0"/>
    <n v="4112"/>
    <n v="40445"/>
  </r>
  <r>
    <x v="20"/>
    <x v="17"/>
    <x v="0"/>
    <n v="2328"/>
    <n v="64980"/>
  </r>
  <r>
    <x v="20"/>
    <x v="30"/>
    <x v="0"/>
    <n v="13076"/>
    <n v="136534"/>
  </r>
  <r>
    <x v="20"/>
    <x v="8"/>
    <x v="0"/>
    <n v="63"/>
    <n v="4150"/>
  </r>
  <r>
    <x v="20"/>
    <x v="10"/>
    <x v="0"/>
    <n v="11"/>
    <n v="1792"/>
  </r>
  <r>
    <x v="20"/>
    <x v="18"/>
    <x v="0"/>
    <n v="2379"/>
    <n v="38217"/>
  </r>
  <r>
    <x v="20"/>
    <x v="12"/>
    <x v="0"/>
    <n v="177"/>
    <n v="2396"/>
  </r>
  <r>
    <x v="20"/>
    <x v="19"/>
    <x v="0"/>
    <n v="635"/>
    <n v="35992"/>
  </r>
  <r>
    <x v="20"/>
    <x v="31"/>
    <x v="0"/>
    <n v="5060"/>
    <n v="57108"/>
  </r>
  <r>
    <x v="20"/>
    <x v="32"/>
    <x v="0"/>
    <n v="4991"/>
    <n v="77848"/>
  </r>
  <r>
    <x v="20"/>
    <x v="13"/>
    <x v="0"/>
    <n v="57"/>
    <n v="3393"/>
  </r>
  <r>
    <x v="20"/>
    <x v="33"/>
    <x v="0"/>
    <n v="2334"/>
    <n v="134747"/>
  </r>
  <r>
    <x v="20"/>
    <x v="20"/>
    <x v="0"/>
    <n v="581"/>
    <n v="10627"/>
  </r>
  <r>
    <x v="20"/>
    <x v="34"/>
    <x v="0"/>
    <n v="1047"/>
    <n v="69018"/>
  </r>
  <r>
    <x v="21"/>
    <x v="25"/>
    <x v="0"/>
    <n v="2680"/>
    <n v="49537"/>
  </r>
  <r>
    <x v="21"/>
    <x v="3"/>
    <x v="0"/>
    <n v="142"/>
    <n v="41897"/>
  </r>
  <r>
    <x v="21"/>
    <x v="14"/>
    <x v="0"/>
    <n v="987"/>
    <n v="63994"/>
  </r>
  <r>
    <x v="21"/>
    <x v="15"/>
    <x v="0"/>
    <n v="172"/>
    <n v="1977"/>
  </r>
  <r>
    <x v="21"/>
    <x v="4"/>
    <x v="0"/>
    <n v="1923"/>
    <n v="35000"/>
  </r>
  <r>
    <x v="21"/>
    <x v="5"/>
    <x v="0"/>
    <n v="9"/>
    <n v="698"/>
  </r>
  <r>
    <x v="21"/>
    <x v="16"/>
    <x v="0"/>
    <n v="3285"/>
    <n v="35973"/>
  </r>
  <r>
    <x v="21"/>
    <x v="26"/>
    <x v="0"/>
    <n v="662"/>
    <n v="4457"/>
  </r>
  <r>
    <x v="21"/>
    <x v="27"/>
    <x v="0"/>
    <n v="5873"/>
    <n v="70897"/>
  </r>
  <r>
    <x v="21"/>
    <x v="23"/>
    <x v="0"/>
    <n v="706"/>
    <n v="29990"/>
  </r>
  <r>
    <x v="21"/>
    <x v="21"/>
    <x v="0"/>
    <n v="78"/>
    <n v="4421"/>
  </r>
  <r>
    <x v="21"/>
    <x v="6"/>
    <x v="0"/>
    <n v="115"/>
    <n v="3934"/>
  </r>
  <r>
    <x v="21"/>
    <x v="24"/>
    <x v="0"/>
    <n v="655"/>
    <n v="27267"/>
  </r>
  <r>
    <x v="21"/>
    <x v="28"/>
    <x v="0"/>
    <n v="9969"/>
    <n v="94898"/>
  </r>
  <r>
    <x v="21"/>
    <x v="29"/>
    <x v="0"/>
    <n v="4667"/>
    <n v="43110"/>
  </r>
  <r>
    <x v="21"/>
    <x v="17"/>
    <x v="0"/>
    <n v="2443"/>
    <n v="80312"/>
  </r>
  <r>
    <x v="21"/>
    <x v="30"/>
    <x v="0"/>
    <n v="13802"/>
    <n v="148279"/>
  </r>
  <r>
    <x v="21"/>
    <x v="8"/>
    <x v="0"/>
    <n v="7"/>
    <n v="3158"/>
  </r>
  <r>
    <x v="21"/>
    <x v="9"/>
    <x v="0"/>
    <n v="4"/>
    <n v="1372"/>
  </r>
  <r>
    <x v="21"/>
    <x v="10"/>
    <x v="0"/>
    <n v="10"/>
    <n v="1599"/>
  </r>
  <r>
    <x v="21"/>
    <x v="18"/>
    <x v="0"/>
    <n v="2533"/>
    <n v="47973"/>
  </r>
  <r>
    <x v="21"/>
    <x v="12"/>
    <x v="0"/>
    <n v="197"/>
    <n v="4395"/>
  </r>
  <r>
    <x v="21"/>
    <x v="19"/>
    <x v="0"/>
    <n v="590"/>
    <n v="33117"/>
  </r>
  <r>
    <x v="21"/>
    <x v="31"/>
    <x v="0"/>
    <n v="4624"/>
    <n v="62966"/>
  </r>
  <r>
    <x v="21"/>
    <x v="32"/>
    <x v="0"/>
    <n v="5505"/>
    <n v="135769"/>
  </r>
  <r>
    <x v="21"/>
    <x v="13"/>
    <x v="0"/>
    <n v="8"/>
    <n v="2766"/>
  </r>
  <r>
    <x v="21"/>
    <x v="33"/>
    <x v="0"/>
    <n v="1952"/>
    <n v="171721"/>
  </r>
  <r>
    <x v="21"/>
    <x v="20"/>
    <x v="0"/>
    <n v="447"/>
    <n v="12862"/>
  </r>
  <r>
    <x v="21"/>
    <x v="34"/>
    <x v="0"/>
    <n v="632"/>
    <n v="52431"/>
  </r>
  <r>
    <x v="22"/>
    <x v="25"/>
    <x v="0"/>
    <n v="2907"/>
    <n v="51810"/>
  </r>
  <r>
    <x v="22"/>
    <x v="3"/>
    <x v="0"/>
    <n v="190"/>
    <n v="36795"/>
  </r>
  <r>
    <x v="22"/>
    <x v="14"/>
    <x v="0"/>
    <n v="911"/>
    <n v="77926"/>
  </r>
  <r>
    <x v="22"/>
    <x v="15"/>
    <x v="0"/>
    <n v="216"/>
    <n v="955"/>
  </r>
  <r>
    <x v="22"/>
    <x v="4"/>
    <x v="0"/>
    <n v="1874"/>
    <n v="30804"/>
  </r>
  <r>
    <x v="22"/>
    <x v="5"/>
    <x v="0"/>
    <n v="16"/>
    <n v="777"/>
  </r>
  <r>
    <x v="22"/>
    <x v="16"/>
    <x v="0"/>
    <n v="2800"/>
    <n v="29396"/>
  </r>
  <r>
    <x v="22"/>
    <x v="26"/>
    <x v="0"/>
    <n v="628"/>
    <n v="3919"/>
  </r>
  <r>
    <x v="22"/>
    <x v="27"/>
    <x v="0"/>
    <n v="6757"/>
    <n v="85424"/>
  </r>
  <r>
    <x v="22"/>
    <x v="23"/>
    <x v="0"/>
    <n v="702"/>
    <n v="31279"/>
  </r>
  <r>
    <x v="22"/>
    <x v="21"/>
    <x v="0"/>
    <n v="65"/>
    <n v="4784"/>
  </r>
  <r>
    <x v="22"/>
    <x v="6"/>
    <x v="0"/>
    <n v="147"/>
    <n v="4868"/>
  </r>
  <r>
    <x v="22"/>
    <x v="24"/>
    <x v="0"/>
    <n v="652"/>
    <n v="31633"/>
  </r>
  <r>
    <x v="22"/>
    <x v="28"/>
    <x v="0"/>
    <n v="10266"/>
    <n v="88323"/>
  </r>
  <r>
    <x v="22"/>
    <x v="29"/>
    <x v="0"/>
    <n v="5558"/>
    <n v="39985"/>
  </r>
  <r>
    <x v="22"/>
    <x v="17"/>
    <x v="0"/>
    <n v="2358"/>
    <n v="75150"/>
  </r>
  <r>
    <x v="22"/>
    <x v="30"/>
    <x v="0"/>
    <n v="12070"/>
    <n v="129508"/>
  </r>
  <r>
    <x v="22"/>
    <x v="8"/>
    <x v="0"/>
    <n v="14"/>
    <n v="2990"/>
  </r>
  <r>
    <x v="22"/>
    <x v="9"/>
    <x v="0"/>
    <n v="2"/>
    <n v="1192"/>
  </r>
  <r>
    <x v="22"/>
    <x v="10"/>
    <x v="0"/>
    <n v="9"/>
    <n v="1655"/>
  </r>
  <r>
    <x v="22"/>
    <x v="18"/>
    <x v="0"/>
    <n v="2552"/>
    <n v="49375"/>
  </r>
  <r>
    <x v="22"/>
    <x v="12"/>
    <x v="0"/>
    <n v="177"/>
    <n v="3354"/>
  </r>
  <r>
    <x v="22"/>
    <x v="19"/>
    <x v="0"/>
    <n v="609"/>
    <n v="34555"/>
  </r>
  <r>
    <x v="22"/>
    <x v="31"/>
    <x v="0"/>
    <n v="4662"/>
    <n v="62207"/>
  </r>
  <r>
    <x v="22"/>
    <x v="32"/>
    <x v="0"/>
    <n v="6701"/>
    <n v="118355"/>
  </r>
  <r>
    <x v="22"/>
    <x v="13"/>
    <x v="0"/>
    <n v="20"/>
    <n v="2860"/>
  </r>
  <r>
    <x v="22"/>
    <x v="33"/>
    <x v="0"/>
    <n v="1968"/>
    <n v="190812"/>
  </r>
  <r>
    <x v="22"/>
    <x v="20"/>
    <x v="0"/>
    <n v="426"/>
    <n v="11079"/>
  </r>
  <r>
    <x v="22"/>
    <x v="34"/>
    <x v="0"/>
    <n v="814"/>
    <n v="67188"/>
  </r>
  <r>
    <x v="23"/>
    <x v="25"/>
    <x v="0"/>
    <n v="3515"/>
    <n v="54298"/>
  </r>
  <r>
    <x v="23"/>
    <x v="3"/>
    <x v="0"/>
    <n v="221"/>
    <n v="41575"/>
  </r>
  <r>
    <x v="23"/>
    <x v="14"/>
    <x v="0"/>
    <n v="1302"/>
    <n v="92334"/>
  </r>
  <r>
    <x v="23"/>
    <x v="15"/>
    <x v="0"/>
    <n v="362"/>
    <n v="663"/>
  </r>
  <r>
    <x v="23"/>
    <x v="4"/>
    <x v="0"/>
    <n v="2188"/>
    <n v="33362"/>
  </r>
  <r>
    <x v="23"/>
    <x v="5"/>
    <x v="0"/>
    <n v="5"/>
    <n v="902"/>
  </r>
  <r>
    <x v="23"/>
    <x v="16"/>
    <x v="0"/>
    <n v="3782"/>
    <n v="30396"/>
  </r>
  <r>
    <x v="23"/>
    <x v="26"/>
    <x v="0"/>
    <n v="837"/>
    <n v="5064"/>
  </r>
  <r>
    <x v="23"/>
    <x v="27"/>
    <x v="0"/>
    <n v="7790"/>
    <n v="92417"/>
  </r>
  <r>
    <x v="23"/>
    <x v="23"/>
    <x v="0"/>
    <n v="714"/>
    <n v="33171"/>
  </r>
  <r>
    <x v="23"/>
    <x v="21"/>
    <x v="0"/>
    <n v="91"/>
    <n v="4543"/>
  </r>
  <r>
    <x v="23"/>
    <x v="6"/>
    <x v="0"/>
    <n v="198"/>
    <n v="7789"/>
  </r>
  <r>
    <x v="23"/>
    <x v="24"/>
    <x v="0"/>
    <n v="797"/>
    <n v="39001"/>
  </r>
  <r>
    <x v="23"/>
    <x v="28"/>
    <x v="0"/>
    <n v="13056"/>
    <n v="104953"/>
  </r>
  <r>
    <x v="23"/>
    <x v="29"/>
    <x v="0"/>
    <n v="6773"/>
    <n v="50705"/>
  </r>
  <r>
    <x v="23"/>
    <x v="17"/>
    <x v="0"/>
    <n v="3213"/>
    <n v="100653"/>
  </r>
  <r>
    <x v="23"/>
    <x v="30"/>
    <x v="0"/>
    <n v="17077"/>
    <n v="154632"/>
  </r>
  <r>
    <x v="23"/>
    <x v="8"/>
    <x v="0"/>
    <n v="3"/>
    <n v="3985"/>
  </r>
  <r>
    <x v="23"/>
    <x v="10"/>
    <x v="0"/>
    <n v="10"/>
    <n v="1615"/>
  </r>
  <r>
    <x v="23"/>
    <x v="18"/>
    <x v="0"/>
    <n v="3269"/>
    <n v="52642"/>
  </r>
  <r>
    <x v="23"/>
    <x v="12"/>
    <x v="0"/>
    <n v="261"/>
    <n v="3608"/>
  </r>
  <r>
    <x v="23"/>
    <x v="19"/>
    <x v="0"/>
    <n v="805"/>
    <n v="36806"/>
  </r>
  <r>
    <x v="23"/>
    <x v="31"/>
    <x v="0"/>
    <n v="6375"/>
    <n v="85324"/>
  </r>
  <r>
    <x v="23"/>
    <x v="32"/>
    <x v="0"/>
    <n v="8388"/>
    <n v="119376"/>
  </r>
  <r>
    <x v="23"/>
    <x v="13"/>
    <x v="0"/>
    <n v="23"/>
    <n v="3016"/>
  </r>
  <r>
    <x v="23"/>
    <x v="33"/>
    <x v="0"/>
    <n v="3559"/>
    <n v="206315"/>
  </r>
  <r>
    <x v="23"/>
    <x v="20"/>
    <x v="0"/>
    <n v="587"/>
    <n v="13077"/>
  </r>
  <r>
    <x v="23"/>
    <x v="34"/>
    <x v="0"/>
    <n v="1103"/>
    <n v="73690"/>
  </r>
  <r>
    <x v="24"/>
    <x v="25"/>
    <x v="0"/>
    <n v="3515"/>
    <n v="48046"/>
  </r>
  <r>
    <x v="24"/>
    <x v="3"/>
    <x v="0"/>
    <n v="178"/>
    <n v="35047"/>
  </r>
  <r>
    <x v="24"/>
    <x v="14"/>
    <x v="0"/>
    <n v="971"/>
    <n v="84319"/>
  </r>
  <r>
    <x v="24"/>
    <x v="15"/>
    <x v="0"/>
    <n v="126"/>
    <n v="2085"/>
  </r>
  <r>
    <x v="24"/>
    <x v="4"/>
    <x v="0"/>
    <n v="1559"/>
    <n v="27613"/>
  </r>
  <r>
    <x v="24"/>
    <x v="5"/>
    <x v="0"/>
    <n v="5"/>
    <n v="666"/>
  </r>
  <r>
    <x v="24"/>
    <x v="16"/>
    <x v="0"/>
    <n v="2738"/>
    <n v="28590"/>
  </r>
  <r>
    <x v="24"/>
    <x v="26"/>
    <x v="0"/>
    <n v="698"/>
    <n v="3609"/>
  </r>
  <r>
    <x v="24"/>
    <x v="27"/>
    <x v="0"/>
    <n v="8266"/>
    <n v="89782"/>
  </r>
  <r>
    <x v="24"/>
    <x v="23"/>
    <x v="0"/>
    <n v="802"/>
    <n v="34168"/>
  </r>
  <r>
    <x v="24"/>
    <x v="21"/>
    <x v="0"/>
    <n v="96"/>
    <n v="4847"/>
  </r>
  <r>
    <x v="24"/>
    <x v="6"/>
    <x v="0"/>
    <n v="212"/>
    <n v="6299"/>
  </r>
  <r>
    <x v="24"/>
    <x v="24"/>
    <x v="0"/>
    <n v="682"/>
    <n v="36353"/>
  </r>
  <r>
    <x v="24"/>
    <x v="28"/>
    <x v="0"/>
    <n v="9711"/>
    <n v="91491"/>
  </r>
  <r>
    <x v="24"/>
    <x v="29"/>
    <x v="0"/>
    <n v="4659"/>
    <n v="32903"/>
  </r>
  <r>
    <x v="24"/>
    <x v="17"/>
    <x v="0"/>
    <n v="1958"/>
    <n v="64877"/>
  </r>
  <r>
    <x v="24"/>
    <x v="30"/>
    <x v="0"/>
    <n v="12260"/>
    <n v="130977"/>
  </r>
  <r>
    <x v="24"/>
    <x v="8"/>
    <x v="0"/>
    <n v="15"/>
    <n v="3425"/>
  </r>
  <r>
    <x v="24"/>
    <x v="9"/>
    <x v="0"/>
    <n v="3"/>
    <n v="1501"/>
  </r>
  <r>
    <x v="24"/>
    <x v="10"/>
    <x v="0"/>
    <n v="8"/>
    <n v="1565"/>
  </r>
  <r>
    <x v="24"/>
    <x v="18"/>
    <x v="0"/>
    <n v="2848"/>
    <n v="43956"/>
  </r>
  <r>
    <x v="24"/>
    <x v="12"/>
    <x v="0"/>
    <n v="157"/>
    <n v="3076"/>
  </r>
  <r>
    <x v="24"/>
    <x v="19"/>
    <x v="0"/>
    <n v="376"/>
    <n v="28269"/>
  </r>
  <r>
    <x v="24"/>
    <x v="31"/>
    <x v="0"/>
    <n v="3914"/>
    <n v="67999"/>
  </r>
  <r>
    <x v="24"/>
    <x v="32"/>
    <x v="0"/>
    <n v="6509"/>
    <n v="94801"/>
  </r>
  <r>
    <x v="24"/>
    <x v="13"/>
    <x v="0"/>
    <n v="19"/>
    <n v="2450"/>
  </r>
  <r>
    <x v="24"/>
    <x v="33"/>
    <x v="0"/>
    <n v="3087"/>
    <n v="195568"/>
  </r>
  <r>
    <x v="24"/>
    <x v="20"/>
    <x v="0"/>
    <n v="524"/>
    <n v="12580"/>
  </r>
  <r>
    <x v="24"/>
    <x v="34"/>
    <x v="0"/>
    <n v="918"/>
    <n v="54194"/>
  </r>
  <r>
    <x v="25"/>
    <x v="25"/>
    <x v="0"/>
    <n v="4370"/>
    <n v="54545"/>
  </r>
  <r>
    <x v="25"/>
    <x v="3"/>
    <x v="0"/>
    <n v="282"/>
    <n v="35939"/>
  </r>
  <r>
    <x v="25"/>
    <x v="14"/>
    <x v="0"/>
    <n v="1536"/>
    <n v="125465"/>
  </r>
  <r>
    <x v="25"/>
    <x v="15"/>
    <x v="0"/>
    <n v="209"/>
    <n v="2356"/>
  </r>
  <r>
    <x v="25"/>
    <x v="4"/>
    <x v="0"/>
    <n v="2514"/>
    <n v="29232"/>
  </r>
  <r>
    <x v="25"/>
    <x v="5"/>
    <x v="0"/>
    <n v="4"/>
    <n v="829"/>
  </r>
  <r>
    <x v="25"/>
    <x v="16"/>
    <x v="0"/>
    <n v="4977"/>
    <n v="32282"/>
  </r>
  <r>
    <x v="25"/>
    <x v="26"/>
    <x v="0"/>
    <n v="863"/>
    <n v="3933"/>
  </r>
  <r>
    <x v="25"/>
    <x v="27"/>
    <x v="0"/>
    <n v="9609"/>
    <n v="87169"/>
  </r>
  <r>
    <x v="25"/>
    <x v="23"/>
    <x v="0"/>
    <n v="1053"/>
    <n v="34399"/>
  </r>
  <r>
    <x v="25"/>
    <x v="21"/>
    <x v="0"/>
    <n v="118"/>
    <n v="5278"/>
  </r>
  <r>
    <x v="25"/>
    <x v="6"/>
    <x v="0"/>
    <n v="258"/>
    <n v="9084"/>
  </r>
  <r>
    <x v="25"/>
    <x v="24"/>
    <x v="0"/>
    <n v="839"/>
    <n v="41796"/>
  </r>
  <r>
    <x v="25"/>
    <x v="28"/>
    <x v="0"/>
    <n v="17292"/>
    <n v="97074"/>
  </r>
  <r>
    <x v="25"/>
    <x v="29"/>
    <x v="0"/>
    <n v="7386"/>
    <n v="41347"/>
  </r>
  <r>
    <x v="25"/>
    <x v="7"/>
    <x v="0"/>
    <n v="14"/>
    <n v="161"/>
  </r>
  <r>
    <x v="25"/>
    <x v="17"/>
    <x v="0"/>
    <n v="3940"/>
    <n v="97067"/>
  </r>
  <r>
    <x v="25"/>
    <x v="30"/>
    <x v="0"/>
    <n v="20585"/>
    <n v="126680"/>
  </r>
  <r>
    <x v="25"/>
    <x v="8"/>
    <x v="0"/>
    <n v="10"/>
    <n v="572"/>
  </r>
  <r>
    <x v="25"/>
    <x v="9"/>
    <x v="0"/>
    <n v="7"/>
    <n v="2006"/>
  </r>
  <r>
    <x v="25"/>
    <x v="10"/>
    <x v="0"/>
    <n v="14"/>
    <n v="1626"/>
  </r>
  <r>
    <x v="25"/>
    <x v="18"/>
    <x v="0"/>
    <n v="3727"/>
    <n v="44563"/>
  </r>
  <r>
    <x v="25"/>
    <x v="12"/>
    <x v="0"/>
    <n v="382"/>
    <n v="3736"/>
  </r>
  <r>
    <x v="25"/>
    <x v="19"/>
    <x v="0"/>
    <n v="1181"/>
    <n v="32433"/>
  </r>
  <r>
    <x v="25"/>
    <x v="31"/>
    <x v="0"/>
    <n v="6897"/>
    <n v="79573"/>
  </r>
  <r>
    <x v="25"/>
    <x v="32"/>
    <x v="0"/>
    <n v="10330"/>
    <n v="109325"/>
  </r>
  <r>
    <x v="25"/>
    <x v="13"/>
    <x v="0"/>
    <n v="65"/>
    <n v="3305"/>
  </r>
  <r>
    <x v="25"/>
    <x v="33"/>
    <x v="0"/>
    <n v="4704"/>
    <n v="300079"/>
  </r>
  <r>
    <x v="25"/>
    <x v="20"/>
    <x v="0"/>
    <n v="682"/>
    <n v="14779"/>
  </r>
  <r>
    <x v="25"/>
    <x v="34"/>
    <x v="0"/>
    <n v="1508"/>
    <n v="77494"/>
  </r>
  <r>
    <x v="26"/>
    <x v="25"/>
    <x v="0"/>
    <n v="1004"/>
    <n v="45618"/>
  </r>
  <r>
    <x v="26"/>
    <x v="3"/>
    <x v="0"/>
    <n v="177"/>
    <n v="31855"/>
  </r>
  <r>
    <x v="26"/>
    <x v="14"/>
    <x v="0"/>
    <n v="520"/>
    <n v="90944"/>
  </r>
  <r>
    <x v="26"/>
    <x v="15"/>
    <x v="0"/>
    <n v="135"/>
    <n v="2638"/>
  </r>
  <r>
    <x v="26"/>
    <x v="4"/>
    <x v="0"/>
    <n v="1245"/>
    <n v="30378"/>
  </r>
  <r>
    <x v="26"/>
    <x v="5"/>
    <x v="0"/>
    <n v="5"/>
    <n v="765"/>
  </r>
  <r>
    <x v="26"/>
    <x v="16"/>
    <x v="0"/>
    <n v="1787"/>
    <n v="28279"/>
  </r>
  <r>
    <x v="26"/>
    <x v="26"/>
    <x v="0"/>
    <n v="531"/>
    <n v="3485"/>
  </r>
  <r>
    <x v="26"/>
    <x v="27"/>
    <x v="0"/>
    <n v="4019"/>
    <n v="80898"/>
  </r>
  <r>
    <x v="26"/>
    <x v="23"/>
    <x v="0"/>
    <n v="408"/>
    <n v="33317"/>
  </r>
  <r>
    <x v="26"/>
    <x v="21"/>
    <x v="0"/>
    <n v="59"/>
    <n v="5397"/>
  </r>
  <r>
    <x v="26"/>
    <x v="6"/>
    <x v="0"/>
    <n v="166"/>
    <n v="7915"/>
  </r>
  <r>
    <x v="26"/>
    <x v="24"/>
    <x v="0"/>
    <n v="390"/>
    <n v="36415"/>
  </r>
  <r>
    <x v="26"/>
    <x v="28"/>
    <x v="0"/>
    <n v="7730"/>
    <n v="101825"/>
  </r>
  <r>
    <x v="26"/>
    <x v="29"/>
    <x v="0"/>
    <n v="4020"/>
    <n v="38025"/>
  </r>
  <r>
    <x v="26"/>
    <x v="7"/>
    <x v="0"/>
    <n v="2"/>
    <n v="208"/>
  </r>
  <r>
    <x v="26"/>
    <x v="17"/>
    <x v="0"/>
    <n v="1671"/>
    <n v="78536"/>
  </r>
  <r>
    <x v="26"/>
    <x v="30"/>
    <x v="0"/>
    <n v="8451"/>
    <n v="119809"/>
  </r>
  <r>
    <x v="26"/>
    <x v="8"/>
    <x v="0"/>
    <n v="4"/>
    <n v="270"/>
  </r>
  <r>
    <x v="26"/>
    <x v="10"/>
    <x v="0"/>
    <n v="4"/>
    <n v="1795"/>
  </r>
  <r>
    <x v="26"/>
    <x v="18"/>
    <x v="0"/>
    <n v="2131"/>
    <n v="43202"/>
  </r>
  <r>
    <x v="26"/>
    <x v="12"/>
    <x v="0"/>
    <n v="140"/>
    <n v="3591"/>
  </r>
  <r>
    <x v="26"/>
    <x v="19"/>
    <x v="0"/>
    <n v="534"/>
    <n v="30214"/>
  </r>
  <r>
    <x v="26"/>
    <x v="31"/>
    <x v="0"/>
    <n v="3261"/>
    <n v="69235"/>
  </r>
  <r>
    <x v="26"/>
    <x v="32"/>
    <x v="0"/>
    <n v="4720"/>
    <n v="121451"/>
  </r>
  <r>
    <x v="26"/>
    <x v="13"/>
    <x v="0"/>
    <n v="8"/>
    <n v="2709"/>
  </r>
  <r>
    <x v="26"/>
    <x v="33"/>
    <x v="0"/>
    <n v="1932"/>
    <n v="219233"/>
  </r>
  <r>
    <x v="26"/>
    <x v="20"/>
    <x v="0"/>
    <n v="324"/>
    <n v="13374"/>
  </r>
  <r>
    <x v="26"/>
    <x v="34"/>
    <x v="0"/>
    <n v="462"/>
    <n v="64854"/>
  </r>
  <r>
    <x v="27"/>
    <x v="25"/>
    <x v="0"/>
    <n v="1361"/>
    <n v="50877"/>
  </r>
  <r>
    <x v="27"/>
    <x v="3"/>
    <x v="0"/>
    <n v="168"/>
    <n v="32074"/>
  </r>
  <r>
    <x v="27"/>
    <x v="14"/>
    <x v="0"/>
    <n v="614"/>
    <n v="69583"/>
  </r>
  <r>
    <x v="27"/>
    <x v="15"/>
    <x v="0"/>
    <n v="134"/>
    <n v="1813"/>
  </r>
  <r>
    <x v="27"/>
    <x v="4"/>
    <x v="0"/>
    <n v="1584"/>
    <n v="28753"/>
  </r>
  <r>
    <x v="27"/>
    <x v="5"/>
    <x v="0"/>
    <n v="5"/>
    <n v="856"/>
  </r>
  <r>
    <x v="27"/>
    <x v="16"/>
    <x v="0"/>
    <n v="2068"/>
    <n v="31269"/>
  </r>
  <r>
    <x v="27"/>
    <x v="26"/>
    <x v="0"/>
    <n v="517"/>
    <n v="2877"/>
  </r>
  <r>
    <x v="27"/>
    <x v="27"/>
    <x v="0"/>
    <n v="5300"/>
    <n v="98394"/>
  </r>
  <r>
    <x v="27"/>
    <x v="23"/>
    <x v="0"/>
    <n v="152"/>
    <n v="15523"/>
  </r>
  <r>
    <x v="27"/>
    <x v="21"/>
    <x v="0"/>
    <n v="40"/>
    <n v="5450"/>
  </r>
  <r>
    <x v="27"/>
    <x v="6"/>
    <x v="0"/>
    <n v="116"/>
    <n v="8604"/>
  </r>
  <r>
    <x v="27"/>
    <x v="24"/>
    <x v="0"/>
    <n v="447"/>
    <n v="32370"/>
  </r>
  <r>
    <x v="27"/>
    <x v="28"/>
    <x v="0"/>
    <n v="9632"/>
    <n v="95036"/>
  </r>
  <r>
    <x v="27"/>
    <x v="29"/>
    <x v="0"/>
    <n v="3937"/>
    <n v="34948"/>
  </r>
  <r>
    <x v="27"/>
    <x v="17"/>
    <x v="0"/>
    <n v="1971"/>
    <n v="69937"/>
  </r>
  <r>
    <x v="27"/>
    <x v="30"/>
    <x v="0"/>
    <n v="9822"/>
    <n v="126943"/>
  </r>
  <r>
    <x v="27"/>
    <x v="8"/>
    <x v="0"/>
    <n v="6"/>
    <n v="1145"/>
  </r>
  <r>
    <x v="27"/>
    <x v="9"/>
    <x v="0"/>
    <n v="20"/>
    <n v="2030"/>
  </r>
  <r>
    <x v="27"/>
    <x v="10"/>
    <x v="0"/>
    <n v="6"/>
    <n v="1721"/>
  </r>
  <r>
    <x v="27"/>
    <x v="18"/>
    <x v="0"/>
    <n v="2805"/>
    <n v="38394"/>
  </r>
  <r>
    <x v="27"/>
    <x v="12"/>
    <x v="0"/>
    <n v="189"/>
    <n v="3909"/>
  </r>
  <r>
    <x v="27"/>
    <x v="19"/>
    <x v="0"/>
    <n v="445"/>
    <n v="33588"/>
  </r>
  <r>
    <x v="27"/>
    <x v="31"/>
    <x v="0"/>
    <n v="3763"/>
    <n v="76511"/>
  </r>
  <r>
    <x v="27"/>
    <x v="32"/>
    <x v="0"/>
    <n v="5839"/>
    <n v="119322"/>
  </r>
  <r>
    <x v="27"/>
    <x v="13"/>
    <x v="0"/>
    <n v="6"/>
    <n v="2942"/>
  </r>
  <r>
    <x v="27"/>
    <x v="33"/>
    <x v="0"/>
    <n v="2326"/>
    <n v="158970"/>
  </r>
  <r>
    <x v="27"/>
    <x v="20"/>
    <x v="0"/>
    <n v="408"/>
    <n v="13216"/>
  </r>
  <r>
    <x v="27"/>
    <x v="34"/>
    <x v="0"/>
    <n v="509"/>
    <n v="67367"/>
  </r>
  <r>
    <x v="28"/>
    <x v="25"/>
    <x v="0"/>
    <n v="1568"/>
    <n v="56399"/>
  </r>
  <r>
    <x v="28"/>
    <x v="3"/>
    <x v="0"/>
    <n v="147"/>
    <n v="31641"/>
  </r>
  <r>
    <x v="28"/>
    <x v="14"/>
    <x v="0"/>
    <n v="713"/>
    <n v="58346"/>
  </r>
  <r>
    <x v="28"/>
    <x v="15"/>
    <x v="0"/>
    <n v="125"/>
    <n v="1789"/>
  </r>
  <r>
    <x v="28"/>
    <x v="4"/>
    <x v="0"/>
    <n v="2088"/>
    <n v="28699"/>
  </r>
  <r>
    <x v="28"/>
    <x v="5"/>
    <x v="0"/>
    <n v="6"/>
    <n v="606"/>
  </r>
  <r>
    <x v="28"/>
    <x v="16"/>
    <x v="0"/>
    <n v="2116"/>
    <n v="33120"/>
  </r>
  <r>
    <x v="28"/>
    <x v="26"/>
    <x v="0"/>
    <n v="689"/>
    <n v="4098"/>
  </r>
  <r>
    <x v="28"/>
    <x v="27"/>
    <x v="0"/>
    <n v="5755"/>
    <n v="87134"/>
  </r>
  <r>
    <x v="28"/>
    <x v="23"/>
    <x v="0"/>
    <n v="399"/>
    <n v="38102"/>
  </r>
  <r>
    <x v="28"/>
    <x v="21"/>
    <x v="0"/>
    <n v="64"/>
    <n v="5345"/>
  </r>
  <r>
    <x v="28"/>
    <x v="6"/>
    <x v="0"/>
    <n v="98"/>
    <n v="8650"/>
  </r>
  <r>
    <x v="28"/>
    <x v="24"/>
    <x v="0"/>
    <n v="455"/>
    <n v="27909"/>
  </r>
  <r>
    <x v="28"/>
    <x v="28"/>
    <x v="0"/>
    <n v="9720"/>
    <n v="101545"/>
  </r>
  <r>
    <x v="28"/>
    <x v="29"/>
    <x v="0"/>
    <n v="4798"/>
    <n v="49548"/>
  </r>
  <r>
    <x v="28"/>
    <x v="17"/>
    <x v="0"/>
    <n v="3907"/>
    <n v="73963"/>
  </r>
  <r>
    <x v="28"/>
    <x v="30"/>
    <x v="0"/>
    <n v="12043"/>
    <n v="133378"/>
  </r>
  <r>
    <x v="28"/>
    <x v="8"/>
    <x v="0"/>
    <n v="8"/>
    <n v="846"/>
  </r>
  <r>
    <x v="28"/>
    <x v="9"/>
    <x v="0"/>
    <n v="15"/>
    <n v="2060"/>
  </r>
  <r>
    <x v="28"/>
    <x v="10"/>
    <x v="0"/>
    <n v="4"/>
    <n v="1908"/>
  </r>
  <r>
    <x v="28"/>
    <x v="18"/>
    <x v="0"/>
    <n v="2737"/>
    <n v="36033"/>
  </r>
  <r>
    <x v="28"/>
    <x v="12"/>
    <x v="0"/>
    <n v="197"/>
    <n v="4141"/>
  </r>
  <r>
    <x v="28"/>
    <x v="19"/>
    <x v="0"/>
    <n v="642"/>
    <n v="34784"/>
  </r>
  <r>
    <x v="28"/>
    <x v="31"/>
    <x v="0"/>
    <n v="4313"/>
    <n v="76171"/>
  </r>
  <r>
    <x v="28"/>
    <x v="32"/>
    <x v="0"/>
    <n v="6246"/>
    <n v="128997"/>
  </r>
  <r>
    <x v="28"/>
    <x v="13"/>
    <x v="0"/>
    <n v="33"/>
    <n v="3154"/>
  </r>
  <r>
    <x v="28"/>
    <x v="33"/>
    <x v="0"/>
    <n v="2710"/>
    <n v="146984"/>
  </r>
  <r>
    <x v="28"/>
    <x v="20"/>
    <x v="0"/>
    <n v="364"/>
    <n v="12790"/>
  </r>
  <r>
    <x v="28"/>
    <x v="34"/>
    <x v="0"/>
    <n v="511"/>
    <n v="64154"/>
  </r>
  <r>
    <x v="29"/>
    <x v="25"/>
    <x v="0"/>
    <n v="1388"/>
    <n v="53014"/>
  </r>
  <r>
    <x v="29"/>
    <x v="3"/>
    <x v="0"/>
    <n v="257"/>
    <n v="32936"/>
  </r>
  <r>
    <x v="29"/>
    <x v="14"/>
    <x v="0"/>
    <n v="900"/>
    <n v="65102"/>
  </r>
  <r>
    <x v="29"/>
    <x v="15"/>
    <x v="0"/>
    <n v="134"/>
    <n v="1868"/>
  </r>
  <r>
    <x v="29"/>
    <x v="4"/>
    <x v="0"/>
    <n v="2178"/>
    <n v="30725"/>
  </r>
  <r>
    <x v="29"/>
    <x v="5"/>
    <x v="0"/>
    <n v="12"/>
    <n v="732"/>
  </r>
  <r>
    <x v="29"/>
    <x v="16"/>
    <x v="0"/>
    <n v="2002"/>
    <n v="31468"/>
  </r>
  <r>
    <x v="29"/>
    <x v="26"/>
    <x v="0"/>
    <n v="560"/>
    <n v="5539"/>
  </r>
  <r>
    <x v="29"/>
    <x v="27"/>
    <x v="0"/>
    <n v="7209"/>
    <n v="129851"/>
  </r>
  <r>
    <x v="29"/>
    <x v="23"/>
    <x v="0"/>
    <n v="321"/>
    <n v="44459"/>
  </r>
  <r>
    <x v="29"/>
    <x v="21"/>
    <x v="0"/>
    <n v="68"/>
    <n v="5403"/>
  </r>
  <r>
    <x v="29"/>
    <x v="6"/>
    <x v="0"/>
    <n v="113"/>
    <n v="8372"/>
  </r>
  <r>
    <x v="29"/>
    <x v="24"/>
    <x v="0"/>
    <n v="524"/>
    <n v="31209"/>
  </r>
  <r>
    <x v="29"/>
    <x v="28"/>
    <x v="0"/>
    <n v="10590"/>
    <n v="106981"/>
  </r>
  <r>
    <x v="29"/>
    <x v="29"/>
    <x v="0"/>
    <n v="4461"/>
    <n v="48967"/>
  </r>
  <r>
    <x v="29"/>
    <x v="17"/>
    <x v="0"/>
    <n v="3283"/>
    <n v="74064"/>
  </r>
  <r>
    <x v="29"/>
    <x v="30"/>
    <x v="0"/>
    <n v="12444"/>
    <n v="134556"/>
  </r>
  <r>
    <x v="29"/>
    <x v="9"/>
    <x v="0"/>
    <n v="11"/>
    <n v="1991"/>
  </r>
  <r>
    <x v="29"/>
    <x v="10"/>
    <x v="0"/>
    <n v="6"/>
    <n v="1561"/>
  </r>
  <r>
    <x v="29"/>
    <x v="18"/>
    <x v="0"/>
    <n v="3049"/>
    <n v="45630"/>
  </r>
  <r>
    <x v="29"/>
    <x v="12"/>
    <x v="0"/>
    <n v="136"/>
    <n v="3350"/>
  </r>
  <r>
    <x v="29"/>
    <x v="19"/>
    <x v="0"/>
    <n v="676"/>
    <n v="35832"/>
  </r>
  <r>
    <x v="29"/>
    <x v="31"/>
    <x v="0"/>
    <n v="4336"/>
    <n v="81056"/>
  </r>
  <r>
    <x v="29"/>
    <x v="32"/>
    <x v="0"/>
    <n v="5178"/>
    <n v="116071"/>
  </r>
  <r>
    <x v="29"/>
    <x v="13"/>
    <x v="0"/>
    <n v="17"/>
    <n v="3157"/>
  </r>
  <r>
    <x v="29"/>
    <x v="33"/>
    <x v="0"/>
    <n v="3141"/>
    <n v="143067"/>
  </r>
  <r>
    <x v="29"/>
    <x v="20"/>
    <x v="0"/>
    <n v="262"/>
    <n v="12642"/>
  </r>
  <r>
    <x v="29"/>
    <x v="34"/>
    <x v="0"/>
    <n v="489"/>
    <n v="58361"/>
  </r>
  <r>
    <x v="30"/>
    <x v="25"/>
    <x v="0"/>
    <n v="1757"/>
    <n v="66154"/>
  </r>
  <r>
    <x v="30"/>
    <x v="3"/>
    <x v="0"/>
    <n v="245"/>
    <n v="51372"/>
  </r>
  <r>
    <x v="30"/>
    <x v="14"/>
    <x v="0"/>
    <n v="820"/>
    <n v="65088"/>
  </r>
  <r>
    <x v="30"/>
    <x v="15"/>
    <x v="0"/>
    <n v="157"/>
    <n v="1964"/>
  </r>
  <r>
    <x v="30"/>
    <x v="4"/>
    <x v="0"/>
    <n v="2195"/>
    <n v="38600"/>
  </r>
  <r>
    <x v="30"/>
    <x v="5"/>
    <x v="0"/>
    <n v="4"/>
    <n v="1109"/>
  </r>
  <r>
    <x v="30"/>
    <x v="16"/>
    <x v="0"/>
    <n v="2611"/>
    <n v="35861"/>
  </r>
  <r>
    <x v="30"/>
    <x v="26"/>
    <x v="0"/>
    <n v="567"/>
    <n v="5377"/>
  </r>
  <r>
    <x v="30"/>
    <x v="27"/>
    <x v="0"/>
    <n v="8417"/>
    <n v="149414"/>
  </r>
  <r>
    <x v="30"/>
    <x v="23"/>
    <x v="0"/>
    <n v="591"/>
    <n v="37096"/>
  </r>
  <r>
    <x v="30"/>
    <x v="21"/>
    <x v="0"/>
    <n v="53"/>
    <n v="4480"/>
  </r>
  <r>
    <x v="30"/>
    <x v="6"/>
    <x v="0"/>
    <n v="137"/>
    <n v="6736"/>
  </r>
  <r>
    <x v="30"/>
    <x v="24"/>
    <x v="0"/>
    <n v="502"/>
    <n v="33632"/>
  </r>
  <r>
    <x v="30"/>
    <x v="28"/>
    <x v="0"/>
    <n v="11137"/>
    <n v="108712"/>
  </r>
  <r>
    <x v="30"/>
    <x v="29"/>
    <x v="0"/>
    <n v="5051"/>
    <n v="36841"/>
  </r>
  <r>
    <x v="30"/>
    <x v="17"/>
    <x v="0"/>
    <n v="3262"/>
    <n v="99036"/>
  </r>
  <r>
    <x v="30"/>
    <x v="30"/>
    <x v="0"/>
    <n v="15716"/>
    <n v="167065"/>
  </r>
  <r>
    <x v="30"/>
    <x v="8"/>
    <x v="0"/>
    <n v="6"/>
    <n v="1035"/>
  </r>
  <r>
    <x v="30"/>
    <x v="10"/>
    <x v="0"/>
    <n v="36"/>
    <n v="1958"/>
  </r>
  <r>
    <x v="30"/>
    <x v="18"/>
    <x v="0"/>
    <n v="3972"/>
    <n v="71596"/>
  </r>
  <r>
    <x v="30"/>
    <x v="12"/>
    <x v="0"/>
    <n v="197"/>
    <n v="3765"/>
  </r>
  <r>
    <x v="30"/>
    <x v="19"/>
    <x v="0"/>
    <n v="760"/>
    <n v="34028"/>
  </r>
  <r>
    <x v="30"/>
    <x v="31"/>
    <x v="0"/>
    <n v="4906"/>
    <n v="103647"/>
  </r>
  <r>
    <x v="30"/>
    <x v="32"/>
    <x v="0"/>
    <n v="6507"/>
    <n v="131658"/>
  </r>
  <r>
    <x v="30"/>
    <x v="13"/>
    <x v="0"/>
    <n v="6"/>
    <n v="4285"/>
  </r>
  <r>
    <x v="30"/>
    <x v="33"/>
    <x v="0"/>
    <n v="3775"/>
    <n v="162993"/>
  </r>
  <r>
    <x v="30"/>
    <x v="20"/>
    <x v="0"/>
    <n v="383"/>
    <n v="13890"/>
  </r>
  <r>
    <x v="30"/>
    <x v="34"/>
    <x v="0"/>
    <n v="851"/>
    <n v="65489"/>
  </r>
  <r>
    <x v="31"/>
    <x v="1"/>
    <x v="0"/>
    <n v="3"/>
    <n v="598"/>
  </r>
  <r>
    <x v="31"/>
    <x v="25"/>
    <x v="0"/>
    <n v="1997"/>
    <n v="79246"/>
  </r>
  <r>
    <x v="31"/>
    <x v="3"/>
    <x v="0"/>
    <n v="244"/>
    <n v="41326"/>
  </r>
  <r>
    <x v="31"/>
    <x v="14"/>
    <x v="0"/>
    <n v="1765"/>
    <n v="149828"/>
  </r>
  <r>
    <x v="31"/>
    <x v="15"/>
    <x v="0"/>
    <n v="241"/>
    <n v="2430"/>
  </r>
  <r>
    <x v="31"/>
    <x v="4"/>
    <x v="0"/>
    <n v="3880"/>
    <n v="76276"/>
  </r>
  <r>
    <x v="31"/>
    <x v="5"/>
    <x v="0"/>
    <n v="15"/>
    <n v="1185"/>
  </r>
  <r>
    <x v="31"/>
    <x v="16"/>
    <x v="0"/>
    <n v="3976"/>
    <n v="56736"/>
  </r>
  <r>
    <x v="31"/>
    <x v="26"/>
    <x v="0"/>
    <n v="977"/>
    <n v="6217"/>
  </r>
  <r>
    <x v="31"/>
    <x v="27"/>
    <x v="0"/>
    <n v="5424"/>
    <n v="152556"/>
  </r>
  <r>
    <x v="31"/>
    <x v="23"/>
    <x v="0"/>
    <n v="565"/>
    <n v="42364"/>
  </r>
  <r>
    <x v="31"/>
    <x v="21"/>
    <x v="0"/>
    <n v="53"/>
    <n v="6131"/>
  </r>
  <r>
    <x v="31"/>
    <x v="6"/>
    <x v="0"/>
    <n v="172"/>
    <n v="8743"/>
  </r>
  <r>
    <x v="31"/>
    <x v="24"/>
    <x v="0"/>
    <n v="825"/>
    <n v="63696"/>
  </r>
  <r>
    <x v="31"/>
    <x v="28"/>
    <x v="0"/>
    <n v="14300"/>
    <n v="136535"/>
  </r>
  <r>
    <x v="31"/>
    <x v="29"/>
    <x v="0"/>
    <n v="5352"/>
    <n v="36822"/>
  </r>
  <r>
    <x v="31"/>
    <x v="17"/>
    <x v="0"/>
    <n v="4861"/>
    <n v="204532"/>
  </r>
  <r>
    <x v="31"/>
    <x v="30"/>
    <x v="0"/>
    <n v="19008"/>
    <n v="230768"/>
  </r>
  <r>
    <x v="31"/>
    <x v="8"/>
    <x v="0"/>
    <n v="10"/>
    <n v="812"/>
  </r>
  <r>
    <x v="31"/>
    <x v="9"/>
    <x v="0"/>
    <n v="6"/>
    <n v="1893"/>
  </r>
  <r>
    <x v="31"/>
    <x v="10"/>
    <x v="0"/>
    <n v="35"/>
    <n v="1977"/>
  </r>
  <r>
    <x v="31"/>
    <x v="18"/>
    <x v="0"/>
    <n v="4345"/>
    <n v="63423"/>
  </r>
  <r>
    <x v="31"/>
    <x v="12"/>
    <x v="0"/>
    <n v="194"/>
    <n v="3681"/>
  </r>
  <r>
    <x v="31"/>
    <x v="19"/>
    <x v="0"/>
    <n v="1184"/>
    <n v="48694"/>
  </r>
  <r>
    <x v="31"/>
    <x v="31"/>
    <x v="0"/>
    <n v="7743"/>
    <n v="191722"/>
  </r>
  <r>
    <x v="31"/>
    <x v="32"/>
    <x v="0"/>
    <n v="7096"/>
    <n v="121926"/>
  </r>
  <r>
    <x v="31"/>
    <x v="13"/>
    <x v="0"/>
    <n v="11"/>
    <n v="4893"/>
  </r>
  <r>
    <x v="31"/>
    <x v="33"/>
    <x v="0"/>
    <n v="5327"/>
    <n v="387983"/>
  </r>
  <r>
    <x v="31"/>
    <x v="20"/>
    <x v="0"/>
    <n v="626"/>
    <n v="24522"/>
  </r>
  <r>
    <x v="31"/>
    <x v="34"/>
    <x v="0"/>
    <n v="1007"/>
    <n v="97240"/>
  </r>
  <r>
    <x v="32"/>
    <x v="1"/>
    <x v="0"/>
    <n v="7"/>
    <n v="430"/>
  </r>
  <r>
    <x v="32"/>
    <x v="25"/>
    <x v="0"/>
    <n v="2372"/>
    <n v="60868"/>
  </r>
  <r>
    <x v="32"/>
    <x v="2"/>
    <x v="0"/>
    <n v="2"/>
    <n v="1377"/>
  </r>
  <r>
    <x v="32"/>
    <x v="3"/>
    <x v="0"/>
    <n v="204"/>
    <n v="38490"/>
  </r>
  <r>
    <x v="32"/>
    <x v="14"/>
    <x v="0"/>
    <n v="1354"/>
    <n v="91064"/>
  </r>
  <r>
    <x v="32"/>
    <x v="15"/>
    <x v="0"/>
    <n v="137"/>
    <n v="1162"/>
  </r>
  <r>
    <x v="32"/>
    <x v="4"/>
    <x v="0"/>
    <n v="1865"/>
    <n v="31773"/>
  </r>
  <r>
    <x v="32"/>
    <x v="5"/>
    <x v="0"/>
    <n v="13"/>
    <n v="1447"/>
  </r>
  <r>
    <x v="32"/>
    <x v="16"/>
    <x v="0"/>
    <n v="5380"/>
    <n v="27097"/>
  </r>
  <r>
    <x v="32"/>
    <x v="26"/>
    <x v="0"/>
    <n v="799"/>
    <n v="4299"/>
  </r>
  <r>
    <x v="32"/>
    <x v="27"/>
    <x v="0"/>
    <n v="4080"/>
    <n v="85848"/>
  </r>
  <r>
    <x v="32"/>
    <x v="23"/>
    <x v="0"/>
    <n v="1019"/>
    <n v="60574"/>
  </r>
  <r>
    <x v="32"/>
    <x v="21"/>
    <x v="0"/>
    <n v="102"/>
    <n v="9988"/>
  </r>
  <r>
    <x v="32"/>
    <x v="6"/>
    <x v="0"/>
    <n v="96"/>
    <n v="3661"/>
  </r>
  <r>
    <x v="32"/>
    <x v="24"/>
    <x v="0"/>
    <n v="632"/>
    <n v="32673"/>
  </r>
  <r>
    <x v="32"/>
    <x v="28"/>
    <x v="0"/>
    <n v="10237"/>
    <n v="91996"/>
  </r>
  <r>
    <x v="32"/>
    <x v="29"/>
    <x v="0"/>
    <n v="4866"/>
    <n v="35712"/>
  </r>
  <r>
    <x v="32"/>
    <x v="17"/>
    <x v="0"/>
    <n v="3359"/>
    <n v="88017"/>
  </r>
  <r>
    <x v="32"/>
    <x v="30"/>
    <x v="0"/>
    <n v="14495"/>
    <n v="174125"/>
  </r>
  <r>
    <x v="32"/>
    <x v="8"/>
    <x v="0"/>
    <n v="6"/>
    <n v="976"/>
  </r>
  <r>
    <x v="32"/>
    <x v="10"/>
    <x v="0"/>
    <n v="24"/>
    <n v="1974"/>
  </r>
  <r>
    <x v="32"/>
    <x v="18"/>
    <x v="0"/>
    <n v="4383"/>
    <n v="48402"/>
  </r>
  <r>
    <x v="32"/>
    <x v="12"/>
    <x v="0"/>
    <n v="224"/>
    <n v="2836"/>
  </r>
  <r>
    <x v="32"/>
    <x v="19"/>
    <x v="0"/>
    <n v="951"/>
    <n v="45523"/>
  </r>
  <r>
    <x v="32"/>
    <x v="31"/>
    <x v="0"/>
    <n v="4676"/>
    <n v="99479"/>
  </r>
  <r>
    <x v="32"/>
    <x v="32"/>
    <x v="0"/>
    <n v="5403"/>
    <n v="82736"/>
  </r>
  <r>
    <x v="32"/>
    <x v="13"/>
    <x v="0"/>
    <n v="40"/>
    <n v="3663"/>
  </r>
  <r>
    <x v="32"/>
    <x v="33"/>
    <x v="0"/>
    <n v="5487"/>
    <n v="211546"/>
  </r>
  <r>
    <x v="32"/>
    <x v="20"/>
    <x v="0"/>
    <n v="655"/>
    <n v="19337"/>
  </r>
  <r>
    <x v="32"/>
    <x v="34"/>
    <x v="0"/>
    <n v="2625"/>
    <n v="90092"/>
  </r>
  <r>
    <x v="33"/>
    <x v="33"/>
    <x v="0"/>
    <n v="5668"/>
    <n v="181667"/>
  </r>
  <r>
    <x v="33"/>
    <x v="30"/>
    <x v="0"/>
    <n v="16367"/>
    <n v="172830"/>
  </r>
  <r>
    <x v="33"/>
    <x v="28"/>
    <x v="0"/>
    <n v="12415"/>
    <n v="115920"/>
  </r>
  <r>
    <x v="33"/>
    <x v="32"/>
    <x v="0"/>
    <n v="7580"/>
    <n v="153753"/>
  </r>
  <r>
    <x v="33"/>
    <x v="14"/>
    <x v="0"/>
    <n v="1288"/>
    <n v="71556"/>
  </r>
  <r>
    <x v="33"/>
    <x v="29"/>
    <x v="0"/>
    <n v="6457"/>
    <n v="42509"/>
  </r>
  <r>
    <x v="33"/>
    <x v="31"/>
    <x v="0"/>
    <n v="4432"/>
    <n v="78862"/>
  </r>
  <r>
    <x v="33"/>
    <x v="16"/>
    <x v="0"/>
    <n v="3073"/>
    <n v="38413"/>
  </r>
  <r>
    <x v="33"/>
    <x v="17"/>
    <x v="0"/>
    <n v="3684"/>
    <n v="92100"/>
  </r>
  <r>
    <x v="33"/>
    <x v="27"/>
    <x v="0"/>
    <n v="5424"/>
    <n v="91933"/>
  </r>
  <r>
    <x v="33"/>
    <x v="18"/>
    <x v="0"/>
    <n v="3883"/>
    <n v="53485"/>
  </r>
  <r>
    <x v="33"/>
    <x v="3"/>
    <x v="0"/>
    <n v="253"/>
    <n v="44386"/>
  </r>
  <r>
    <x v="33"/>
    <x v="23"/>
    <x v="0"/>
    <n v="1259"/>
    <n v="42824"/>
  </r>
  <r>
    <x v="33"/>
    <x v="4"/>
    <x v="0"/>
    <n v="2367"/>
    <n v="42881"/>
  </r>
  <r>
    <x v="33"/>
    <x v="34"/>
    <x v="0"/>
    <n v="1636"/>
    <n v="72390"/>
  </r>
  <r>
    <x v="33"/>
    <x v="19"/>
    <x v="0"/>
    <n v="821"/>
    <n v="33511"/>
  </r>
  <r>
    <x v="33"/>
    <x v="25"/>
    <x v="0"/>
    <n v="2134"/>
    <n v="53619"/>
  </r>
  <r>
    <x v="33"/>
    <x v="24"/>
    <x v="0"/>
    <n v="551"/>
    <n v="30612"/>
  </r>
  <r>
    <x v="33"/>
    <x v="20"/>
    <x v="0"/>
    <n v="382"/>
    <n v="11682"/>
  </r>
  <r>
    <x v="33"/>
    <x v="6"/>
    <x v="0"/>
    <n v="219"/>
    <n v="4582"/>
  </r>
  <r>
    <x v="33"/>
    <x v="26"/>
    <x v="0"/>
    <n v="832"/>
    <n v="5079"/>
  </r>
  <r>
    <x v="33"/>
    <x v="15"/>
    <x v="0"/>
    <n v="118"/>
    <n v="1450"/>
  </r>
  <r>
    <x v="33"/>
    <x v="13"/>
    <x v="0"/>
    <n v="3"/>
    <n v="3000"/>
  </r>
  <r>
    <x v="33"/>
    <x v="12"/>
    <x v="0"/>
    <n v="310"/>
    <n v="5141"/>
  </r>
  <r>
    <x v="33"/>
    <x v="21"/>
    <x v="0"/>
    <n v="79"/>
    <n v="6031"/>
  </r>
  <r>
    <x v="33"/>
    <x v="5"/>
    <x v="0"/>
    <n v="31"/>
    <n v="866"/>
  </r>
  <r>
    <x v="33"/>
    <x v="8"/>
    <x v="0"/>
    <n v="7"/>
    <n v="1556"/>
  </r>
  <r>
    <x v="33"/>
    <x v="10"/>
    <x v="0"/>
    <n v="28"/>
    <n v="1872"/>
  </r>
  <r>
    <x v="33"/>
    <x v="9"/>
    <x v="0"/>
    <n v="26"/>
    <n v="1625"/>
  </r>
  <r>
    <x v="33"/>
    <x v="7"/>
    <x v="0"/>
    <n v="14"/>
    <n v="37"/>
  </r>
  <r>
    <x v="33"/>
    <x v="22"/>
    <x v="0"/>
    <n v="2"/>
    <n v="483"/>
  </r>
  <r>
    <x v="34"/>
    <x v="33"/>
    <x v="0"/>
    <n v="6557"/>
    <n v="206846"/>
  </r>
  <r>
    <x v="34"/>
    <x v="30"/>
    <x v="0"/>
    <n v="15193"/>
    <n v="147649"/>
  </r>
  <r>
    <x v="34"/>
    <x v="28"/>
    <x v="0"/>
    <n v="12605"/>
    <n v="108852"/>
  </r>
  <r>
    <x v="34"/>
    <x v="32"/>
    <x v="0"/>
    <n v="8647"/>
    <n v="143638"/>
  </r>
  <r>
    <x v="34"/>
    <x v="31"/>
    <x v="0"/>
    <n v="5145"/>
    <n v="81152"/>
  </r>
  <r>
    <x v="34"/>
    <x v="14"/>
    <x v="0"/>
    <n v="1301"/>
    <n v="83398"/>
  </r>
  <r>
    <x v="34"/>
    <x v="17"/>
    <x v="0"/>
    <n v="4006"/>
    <n v="87659"/>
  </r>
  <r>
    <x v="34"/>
    <x v="29"/>
    <x v="0"/>
    <n v="5389"/>
    <n v="38356"/>
  </r>
  <r>
    <x v="34"/>
    <x v="27"/>
    <x v="0"/>
    <n v="5103"/>
    <n v="88441"/>
  </r>
  <r>
    <x v="34"/>
    <x v="16"/>
    <x v="0"/>
    <n v="2364"/>
    <n v="30504"/>
  </r>
  <r>
    <x v="34"/>
    <x v="3"/>
    <x v="0"/>
    <n v="246"/>
    <n v="39048"/>
  </r>
  <r>
    <x v="34"/>
    <x v="18"/>
    <x v="0"/>
    <n v="3733"/>
    <n v="57255"/>
  </r>
  <r>
    <x v="34"/>
    <x v="4"/>
    <x v="0"/>
    <n v="2198"/>
    <n v="40110"/>
  </r>
  <r>
    <x v="34"/>
    <x v="19"/>
    <x v="0"/>
    <n v="1017"/>
    <n v="34359"/>
  </r>
  <r>
    <x v="34"/>
    <x v="25"/>
    <x v="0"/>
    <n v="2830"/>
    <n v="56600"/>
  </r>
  <r>
    <x v="34"/>
    <x v="23"/>
    <x v="0"/>
    <n v="1075"/>
    <n v="38121"/>
  </r>
  <r>
    <x v="34"/>
    <x v="34"/>
    <x v="0"/>
    <n v="1341"/>
    <n v="74089"/>
  </r>
  <r>
    <x v="34"/>
    <x v="24"/>
    <x v="0"/>
    <n v="710"/>
    <n v="34467"/>
  </r>
  <r>
    <x v="34"/>
    <x v="20"/>
    <x v="0"/>
    <n v="586"/>
    <n v="13692"/>
  </r>
  <r>
    <x v="34"/>
    <x v="6"/>
    <x v="0"/>
    <n v="233"/>
    <n v="5055"/>
  </r>
  <r>
    <x v="34"/>
    <x v="26"/>
    <x v="0"/>
    <n v="990"/>
    <n v="4759"/>
  </r>
  <r>
    <x v="34"/>
    <x v="13"/>
    <x v="0"/>
    <n v="24"/>
    <n v="3334"/>
  </r>
  <r>
    <x v="34"/>
    <x v="15"/>
    <x v="0"/>
    <n v="126"/>
    <n v="1416"/>
  </r>
  <r>
    <x v="34"/>
    <x v="12"/>
    <x v="0"/>
    <n v="384"/>
    <n v="4556"/>
  </r>
  <r>
    <x v="34"/>
    <x v="21"/>
    <x v="0"/>
    <n v="66"/>
    <n v="4926"/>
  </r>
  <r>
    <x v="34"/>
    <x v="10"/>
    <x v="0"/>
    <n v="51"/>
    <n v="2146"/>
  </r>
  <r>
    <x v="34"/>
    <x v="8"/>
    <x v="0"/>
    <n v="3"/>
    <n v="1723"/>
  </r>
  <r>
    <x v="34"/>
    <x v="5"/>
    <x v="0"/>
    <n v="24"/>
    <n v="1052"/>
  </r>
  <r>
    <x v="34"/>
    <x v="9"/>
    <x v="0"/>
    <n v="11"/>
    <n v="1890"/>
  </r>
  <r>
    <x v="34"/>
    <x v="1"/>
    <x v="0"/>
    <n v="5"/>
    <n v="473"/>
  </r>
  <r>
    <x v="35"/>
    <x v="30"/>
    <x v="0"/>
    <n v="26668"/>
    <n v="152563"/>
  </r>
  <r>
    <x v="35"/>
    <x v="33"/>
    <x v="0"/>
    <n v="7799"/>
    <n v="210216"/>
  </r>
  <r>
    <x v="35"/>
    <x v="28"/>
    <x v="0"/>
    <n v="22742"/>
    <n v="123800"/>
  </r>
  <r>
    <x v="35"/>
    <x v="32"/>
    <x v="0"/>
    <n v="13350"/>
    <n v="124071"/>
  </r>
  <r>
    <x v="35"/>
    <x v="31"/>
    <x v="0"/>
    <n v="7933"/>
    <n v="89538"/>
  </r>
  <r>
    <x v="35"/>
    <x v="16"/>
    <x v="0"/>
    <n v="5002"/>
    <n v="31599"/>
  </r>
  <r>
    <x v="35"/>
    <x v="29"/>
    <x v="0"/>
    <n v="8393"/>
    <n v="42909"/>
  </r>
  <r>
    <x v="35"/>
    <x v="27"/>
    <x v="0"/>
    <n v="8496"/>
    <n v="94822"/>
  </r>
  <r>
    <x v="35"/>
    <x v="14"/>
    <x v="0"/>
    <n v="2584"/>
    <n v="102949"/>
  </r>
  <r>
    <x v="35"/>
    <x v="17"/>
    <x v="0"/>
    <n v="5772"/>
    <n v="95405"/>
  </r>
  <r>
    <x v="35"/>
    <x v="25"/>
    <x v="0"/>
    <n v="7057"/>
    <n v="69119"/>
  </r>
  <r>
    <x v="35"/>
    <x v="3"/>
    <x v="0"/>
    <n v="767"/>
    <n v="42612"/>
  </r>
  <r>
    <x v="35"/>
    <x v="4"/>
    <x v="0"/>
    <n v="3610"/>
    <n v="46046"/>
  </r>
  <r>
    <x v="35"/>
    <x v="19"/>
    <x v="0"/>
    <n v="1514"/>
    <n v="35877"/>
  </r>
  <r>
    <x v="35"/>
    <x v="34"/>
    <x v="0"/>
    <n v="2159"/>
    <n v="69871"/>
  </r>
  <r>
    <x v="35"/>
    <x v="23"/>
    <x v="0"/>
    <n v="1387"/>
    <n v="41778"/>
  </r>
  <r>
    <x v="35"/>
    <x v="24"/>
    <x v="0"/>
    <n v="824"/>
    <n v="38149"/>
  </r>
  <r>
    <x v="35"/>
    <x v="26"/>
    <x v="0"/>
    <n v="1745"/>
    <n v="5018"/>
  </r>
  <r>
    <x v="35"/>
    <x v="20"/>
    <x v="0"/>
    <n v="579"/>
    <n v="12506"/>
  </r>
  <r>
    <x v="35"/>
    <x v="6"/>
    <x v="0"/>
    <n v="297"/>
    <n v="6600"/>
  </r>
  <r>
    <x v="35"/>
    <x v="13"/>
    <x v="0"/>
    <n v="41"/>
    <n v="3728"/>
  </r>
  <r>
    <x v="35"/>
    <x v="15"/>
    <x v="0"/>
    <n v="215"/>
    <n v="1525"/>
  </r>
  <r>
    <x v="35"/>
    <x v="12"/>
    <x v="0"/>
    <n v="477"/>
    <n v="4337"/>
  </r>
  <r>
    <x v="35"/>
    <x v="9"/>
    <x v="0"/>
    <n v="4"/>
    <n v="2223"/>
  </r>
  <r>
    <x v="35"/>
    <x v="21"/>
    <x v="0"/>
    <n v="90"/>
    <n v="4737"/>
  </r>
  <r>
    <x v="35"/>
    <x v="10"/>
    <x v="0"/>
    <n v="58"/>
    <n v="1932"/>
  </r>
  <r>
    <x v="35"/>
    <x v="5"/>
    <x v="0"/>
    <n v="25"/>
    <n v="780"/>
  </r>
  <r>
    <x v="35"/>
    <x v="8"/>
    <x v="0"/>
    <n v="13"/>
    <n v="1394"/>
  </r>
  <r>
    <x v="35"/>
    <x v="1"/>
    <x v="0"/>
    <n v="2"/>
    <n v="447"/>
  </r>
  <r>
    <x v="35"/>
    <x v="11"/>
    <x v="0"/>
    <n v="2"/>
    <n v="1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145A94-22EA-49E3-8C3B-1C68D73757C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8:D12" firstHeaderRow="1" firstDataRow="1" firstDataCol="1" rowPageCount="2" colPageCount="1"/>
  <pivotFields count="7">
    <pivotField numFmtId="14" showAll="0">
      <items count="37">
        <item x="0"/>
        <item x="2"/>
        <item x="3"/>
        <item x="4"/>
        <item x="5"/>
        <item x="6"/>
        <item x="7"/>
        <item x="8"/>
        <item x="16"/>
        <item x="18"/>
        <item x="20"/>
        <item x="22"/>
        <item x="1"/>
        <item x="9"/>
        <item x="10"/>
        <item x="11"/>
        <item x="12"/>
        <item x="13"/>
        <item x="14"/>
        <item x="15"/>
        <item x="17"/>
        <item x="19"/>
        <item x="21"/>
        <item x="34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  <pivotField axis="axisRow" showAll="0" measureFilter="1">
      <items count="27">
        <item x="14"/>
        <item x="15"/>
        <item x="19"/>
        <item x="24"/>
        <item x="20"/>
        <item x="23"/>
        <item x="4"/>
        <item x="2"/>
        <item x="12"/>
        <item x="11"/>
        <item x="21"/>
        <item x="6"/>
        <item x="25"/>
        <item x="10"/>
        <item x="7"/>
        <item x="9"/>
        <item x="1"/>
        <item x="13"/>
        <item x="0"/>
        <item x="22"/>
        <item x="3"/>
        <item x="16"/>
        <item x="18"/>
        <item x="8"/>
        <item x="17"/>
        <item x="5"/>
        <item t="default"/>
      </items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multipleItemSelectionAllowed="1" showAll="0">
      <items count="7">
        <item h="1" sd="0" x="0"/>
        <item h="1" sd="0" x="1"/>
        <item h="1" sd="0" x="2"/>
        <item sd="0" x="3"/>
        <item h="1" sd="0" x="4"/>
        <item h="1" sd="0" x="5"/>
        <item t="default"/>
      </items>
    </pivotField>
  </pivotFields>
  <rowFields count="1">
    <field x="2"/>
  </rowFields>
  <rowItems count="4">
    <i>
      <x v="1"/>
    </i>
    <i>
      <x v="18"/>
    </i>
    <i>
      <x v="24"/>
    </i>
    <i t="grand">
      <x/>
    </i>
  </rowItems>
  <colItems count="1">
    <i/>
  </colItems>
  <pageFields count="2">
    <pageField fld="1" hier="-1"/>
    <pageField fld="6" hier="-1"/>
  </pageFields>
  <dataFields count="1">
    <dataField name="Sum of electric_vehicles_sold" fld="3" baseField="0" baseItem="0"/>
  </dataFields>
  <pivotTableStyleInfo name="PivotStyleLight16" showRowHeaders="1" showColHeaders="1" showRowStripes="0" showColStripes="0" showLastColumn="1"/>
  <filters count="1">
    <filter fld="2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4BC56-D61D-4B88-AB25-C19910E600F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8:G22" firstHeaderRow="1" firstDataRow="1" firstDataCol="1" rowPageCount="2" colPageCount="1"/>
  <pivotFields count="7">
    <pivotField numFmtId="14" showAll="0">
      <items count="37">
        <item x="0"/>
        <item x="2"/>
        <item x="3"/>
        <item x="4"/>
        <item x="5"/>
        <item x="6"/>
        <item x="7"/>
        <item x="8"/>
        <item x="16"/>
        <item x="18"/>
        <item x="20"/>
        <item x="22"/>
        <item x="1"/>
        <item x="9"/>
        <item x="10"/>
        <item x="11"/>
        <item x="12"/>
        <item x="13"/>
        <item x="14"/>
        <item x="15"/>
        <item x="17"/>
        <item x="19"/>
        <item x="21"/>
        <item x="34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  <pivotField axis="axisRow" showAll="0" measureFilter="1" sortType="ascending">
      <items count="27">
        <item x="14"/>
        <item x="15"/>
        <item x="19"/>
        <item x="24"/>
        <item x="20"/>
        <item x="23"/>
        <item x="4"/>
        <item x="2"/>
        <item x="12"/>
        <item x="11"/>
        <item x="21"/>
        <item x="6"/>
        <item x="25"/>
        <item x="10"/>
        <item x="7"/>
        <item x="9"/>
        <item x="1"/>
        <item x="13"/>
        <item x="0"/>
        <item x="22"/>
        <item x="3"/>
        <item x="16"/>
        <item x="18"/>
        <item x="8"/>
        <item x="17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multipleItemSelectionAllowed="1" showAll="0">
      <items count="7">
        <item h="1" sd="0" x="0"/>
        <item h="1" sd="0" x="1"/>
        <item h="1" sd="0" x="2"/>
        <item h="1" sd="0" x="3"/>
        <item sd="0" x="4"/>
        <item h="1" sd="0" x="5"/>
        <item t="default"/>
      </items>
    </pivotField>
  </pivotFields>
  <rowFields count="1">
    <field x="2"/>
  </rowFields>
  <rowItems count="4">
    <i>
      <x v="8"/>
    </i>
    <i>
      <x v="3"/>
    </i>
    <i>
      <x v="22"/>
    </i>
    <i t="grand">
      <x/>
    </i>
  </rowItems>
  <colItems count="1">
    <i/>
  </colItems>
  <pageFields count="2">
    <pageField fld="1" hier="-1"/>
    <pageField fld="6" hier="-1"/>
  </pageFields>
  <dataFields count="1">
    <dataField name="Sum of electric_vehicles_sold" fld="3" baseField="0" baseItem="0"/>
  </dataFields>
  <pivotTableStyleInfo name="PivotStyleLight16" showRowHeaders="1" showColHeaders="1" showRowStripes="0" showColStripes="0" showLastColumn="1"/>
  <filters count="1">
    <filter fld="2" type="count" evalOrder="-1" id="3" iMeasureFld="0">
      <autoFilter ref="A1">
        <filterColumn colId="0">
          <top10 top="0"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A815CA-2162-4BE2-AEE4-C9453367337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8:D22" firstHeaderRow="1" firstDataRow="1" firstDataCol="1" rowPageCount="2" colPageCount="1"/>
  <pivotFields count="7">
    <pivotField numFmtId="14" showAll="0">
      <items count="37">
        <item x="0"/>
        <item x="2"/>
        <item x="3"/>
        <item x="4"/>
        <item x="5"/>
        <item x="6"/>
        <item x="7"/>
        <item x="8"/>
        <item x="16"/>
        <item x="18"/>
        <item x="20"/>
        <item x="22"/>
        <item x="1"/>
        <item x="9"/>
        <item x="10"/>
        <item x="11"/>
        <item x="12"/>
        <item x="13"/>
        <item x="14"/>
        <item x="15"/>
        <item x="17"/>
        <item x="19"/>
        <item x="21"/>
        <item x="34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  <pivotField axis="axisRow" showAll="0" measureFilter="1" sortType="descending">
      <items count="27">
        <item x="14"/>
        <item x="15"/>
        <item x="19"/>
        <item x="24"/>
        <item x="20"/>
        <item x="23"/>
        <item x="4"/>
        <item x="2"/>
        <item x="12"/>
        <item x="11"/>
        <item x="21"/>
        <item x="6"/>
        <item x="25"/>
        <item x="10"/>
        <item x="7"/>
        <item x="9"/>
        <item x="1"/>
        <item x="13"/>
        <item x="0"/>
        <item x="22"/>
        <item x="3"/>
        <item x="16"/>
        <item x="18"/>
        <item x="8"/>
        <item x="17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multipleItemSelectionAllowed="1" showAll="0">
      <items count="7">
        <item h="1" sd="0" x="0"/>
        <item h="1" sd="0" x="1"/>
        <item h="1" sd="0" x="2"/>
        <item h="1" sd="0" x="3"/>
        <item sd="0" x="4"/>
        <item h="1" sd="0" x="5"/>
        <item t="default"/>
      </items>
    </pivotField>
  </pivotFields>
  <rowFields count="1">
    <field x="2"/>
  </rowFields>
  <rowItems count="4">
    <i>
      <x v="18"/>
    </i>
    <i>
      <x v="24"/>
    </i>
    <i>
      <x v="2"/>
    </i>
    <i t="grand">
      <x/>
    </i>
  </rowItems>
  <colItems count="1">
    <i/>
  </colItems>
  <pageFields count="2">
    <pageField fld="1" hier="-1"/>
    <pageField fld="6" hier="-1"/>
  </pageFields>
  <dataFields count="1">
    <dataField name="Sum of electric_vehicles_sold" fld="3" baseField="0" baseItem="0"/>
  </dataFields>
  <pivotTableStyleInfo name="PivotStyleLight16" showRowHeaders="1" showColHeaders="1" showRowStripes="0" showColStripes="0" showLastColumn="1"/>
  <filters count="1">
    <filter fld="2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043DCB-D85F-4E14-89A3-6A7C6369A6D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8:G12" firstHeaderRow="1" firstDataRow="1" firstDataCol="1" rowPageCount="2" colPageCount="1"/>
  <pivotFields count="7">
    <pivotField numFmtId="14" showAll="0">
      <items count="37">
        <item x="0"/>
        <item x="2"/>
        <item x="3"/>
        <item x="4"/>
        <item x="5"/>
        <item x="6"/>
        <item x="7"/>
        <item x="8"/>
        <item x="16"/>
        <item x="18"/>
        <item x="20"/>
        <item x="22"/>
        <item x="1"/>
        <item x="9"/>
        <item x="10"/>
        <item x="11"/>
        <item x="12"/>
        <item x="13"/>
        <item x="14"/>
        <item x="15"/>
        <item x="17"/>
        <item x="19"/>
        <item x="21"/>
        <item x="34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  <pivotField axis="axisRow" showAll="0" measureFilter="1">
      <items count="27">
        <item x="14"/>
        <item x="15"/>
        <item x="19"/>
        <item x="24"/>
        <item x="20"/>
        <item x="23"/>
        <item x="4"/>
        <item x="2"/>
        <item x="12"/>
        <item x="11"/>
        <item x="21"/>
        <item x="6"/>
        <item x="25"/>
        <item x="10"/>
        <item x="7"/>
        <item x="9"/>
        <item x="1"/>
        <item x="13"/>
        <item x="0"/>
        <item x="22"/>
        <item x="3"/>
        <item x="16"/>
        <item x="18"/>
        <item x="8"/>
        <item x="17"/>
        <item x="5"/>
        <item t="default"/>
      </items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multipleItemSelectionAllowed="1" showAll="0">
      <items count="7">
        <item h="1" sd="0" x="0"/>
        <item h="1" sd="0" x="1"/>
        <item h="1" sd="0" x="2"/>
        <item sd="0" x="3"/>
        <item h="1" sd="0" x="4"/>
        <item h="1" sd="0" x="5"/>
        <item t="default"/>
      </items>
    </pivotField>
  </pivotFields>
  <rowFields count="1">
    <field x="2"/>
  </rowFields>
  <rowItems count="4">
    <i>
      <x v="4"/>
    </i>
    <i>
      <x v="10"/>
    </i>
    <i>
      <x v="21"/>
    </i>
    <i t="grand">
      <x/>
    </i>
  </rowItems>
  <colItems count="1">
    <i/>
  </colItems>
  <pageFields count="2">
    <pageField fld="1" hier="-1"/>
    <pageField fld="6" hier="-1"/>
  </pageFields>
  <dataFields count="1">
    <dataField name="Sum of electric_vehicles_sold" fld="3" baseField="0" baseItem="0"/>
  </dataFields>
  <pivotTableStyleInfo name="PivotStyleLight16" showRowHeaders="1" showColHeaders="1" showRowStripes="0" showColStripes="0" showLastColumn="1"/>
  <filters count="1">
    <filter fld="2" type="count" evalOrder="-1" id="3" iMeasureFld="0">
      <autoFilter ref="A1">
        <filterColumn colId="0">
          <top10 top="0"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CC55B1-EEC9-4F7A-8003-BAA6B853E3A5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5:C81" firstHeaderRow="0" firstDataRow="1" firstDataCol="1" rowPageCount="2" colPageCount="1"/>
  <pivotFields count="8">
    <pivotField numFmtId="14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axis="axisRow" showAll="0">
      <items count="36">
        <item x="22"/>
        <item x="1"/>
        <item x="25"/>
        <item x="2"/>
        <item x="3"/>
        <item x="14"/>
        <item x="15"/>
        <item x="4"/>
        <item x="16"/>
        <item x="5"/>
        <item x="26"/>
        <item x="27"/>
        <item x="23"/>
        <item x="21"/>
        <item x="6"/>
        <item x="24"/>
        <item x="28"/>
        <item x="29"/>
        <item x="7"/>
        <item x="17"/>
        <item x="30"/>
        <item x="8"/>
        <item x="9"/>
        <item x="10"/>
        <item x="11"/>
        <item x="18"/>
        <item x="12"/>
        <item x="19"/>
        <item x="31"/>
        <item x="0"/>
        <item x="32"/>
        <item x="13"/>
        <item x="33"/>
        <item x="20"/>
        <item x="34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dataField="1" showAll="0"/>
    <pivotField dataField="1" showAll="0"/>
    <pivotField showAll="0" defaultSubtotal="0"/>
    <pivotField showAll="0" defaultSubtotal="0"/>
    <pivotField axis="axisPage" multipleItemSelectionAllowed="1" showAll="0" defaultSubtotal="0">
      <items count="6">
        <item h="1" x="0"/>
        <item h="1" x="1"/>
        <item h="1" x="2"/>
        <item h="1" x="3"/>
        <item x="4"/>
        <item h="1" x="5"/>
      </items>
    </pivotField>
  </pivotFields>
  <rowFields count="1">
    <field x="1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-2"/>
  </colFields>
  <colItems count="2">
    <i>
      <x/>
    </i>
    <i i="1">
      <x v="1"/>
    </i>
  </colItems>
  <pageFields count="2">
    <pageField fld="7" hier="-1"/>
    <pageField fld="2" hier="-1"/>
  </pageFields>
  <dataFields count="2">
    <dataField name="Sum of electric_vehicles_sold" fld="3" baseField="0" baseItem="0"/>
    <dataField name="Sum of total_vehicles_sol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9CCD52-3D39-4897-BF3E-3D97EBE024FF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40" firstHeaderRow="0" firstDataRow="1" firstDataCol="1" rowPageCount="2" colPageCount="1"/>
  <pivotFields count="8">
    <pivotField numFmtId="14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axis="axisRow" showAll="0" sortType="descending">
      <items count="36">
        <item x="22"/>
        <item x="1"/>
        <item x="25"/>
        <item x="2"/>
        <item x="3"/>
        <item x="14"/>
        <item x="15"/>
        <item x="4"/>
        <item x="16"/>
        <item x="5"/>
        <item x="26"/>
        <item x="27"/>
        <item x="23"/>
        <item x="21"/>
        <item x="6"/>
        <item x="24"/>
        <item x="28"/>
        <item x="29"/>
        <item x="7"/>
        <item x="17"/>
        <item x="30"/>
        <item x="8"/>
        <item x="9"/>
        <item x="10"/>
        <item x="11"/>
        <item x="18"/>
        <item x="12"/>
        <item x="19"/>
        <item x="31"/>
        <item x="0"/>
        <item x="32"/>
        <item x="13"/>
        <item x="33"/>
        <item x="20"/>
        <item x="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3">
        <item x="0"/>
        <item h="1" x="1"/>
        <item t="default"/>
      </items>
    </pivotField>
    <pivotField dataField="1"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multipleItemSelectionAllowed="1" showAll="0">
      <items count="7">
        <item h="1" sd="0" x="0"/>
        <item h="1" sd="0" x="1"/>
        <item h="1" sd="0" x="2"/>
        <item h="1" sd="0" x="3"/>
        <item sd="0" x="4"/>
        <item h="1" sd="0" x="5"/>
        <item t="default"/>
      </items>
    </pivotField>
  </pivotFields>
  <rowFields count="1">
    <field x="1"/>
  </rowFields>
  <rowItems count="36">
    <i>
      <x v="20"/>
    </i>
    <i>
      <x v="16"/>
    </i>
    <i>
      <x v="30"/>
    </i>
    <i>
      <x v="17"/>
    </i>
    <i>
      <x v="32"/>
    </i>
    <i>
      <x v="11"/>
    </i>
    <i>
      <x v="28"/>
    </i>
    <i>
      <x v="19"/>
    </i>
    <i>
      <x v="2"/>
    </i>
    <i>
      <x v="8"/>
    </i>
    <i>
      <x v="7"/>
    </i>
    <i>
      <x v="25"/>
    </i>
    <i>
      <x v="5"/>
    </i>
    <i>
      <x v="34"/>
    </i>
    <i>
      <x v="12"/>
    </i>
    <i>
      <x v="10"/>
    </i>
    <i>
      <x v="27"/>
    </i>
    <i>
      <x v="15"/>
    </i>
    <i>
      <x v="33"/>
    </i>
    <i>
      <x v="4"/>
    </i>
    <i>
      <x v="26"/>
    </i>
    <i>
      <x v="14"/>
    </i>
    <i>
      <x v="6"/>
    </i>
    <i>
      <x v="13"/>
    </i>
    <i>
      <x v="23"/>
    </i>
    <i>
      <x v="9"/>
    </i>
    <i>
      <x v="31"/>
    </i>
    <i>
      <x v="22"/>
    </i>
    <i>
      <x v="21"/>
    </i>
    <i>
      <x v="18"/>
    </i>
    <i>
      <x v="1"/>
    </i>
    <i>
      <x v="24"/>
    </i>
    <i>
      <x/>
    </i>
    <i>
      <x v="29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2">
    <pageField fld="2" hier="-1"/>
    <pageField fld="7" hier="-1"/>
  </pageFields>
  <dataFields count="2">
    <dataField name="Sum of electric_vehicles_sold" fld="3" baseField="0" baseItem="0"/>
    <dataField name="Sum of total_vehicles_sol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8EABA6-1CED-4982-84A1-908FBA1EF640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8" firstHeaderRow="0" firstDataRow="1" firstDataCol="1" rowPageCount="1" colPageCount="1"/>
  <pivotFields count="8">
    <pivotField numFmtId="14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axis="axisRow" showAll="0">
      <items count="36">
        <item x="22"/>
        <item x="1"/>
        <item x="25"/>
        <item x="2"/>
        <item x="3"/>
        <item x="14"/>
        <item x="15"/>
        <item x="4"/>
        <item x="16"/>
        <item x="5"/>
        <item x="26"/>
        <item x="27"/>
        <item x="23"/>
        <item x="21"/>
        <item x="6"/>
        <item x="24"/>
        <item x="28"/>
        <item x="29"/>
        <item x="7"/>
        <item x="17"/>
        <item x="30"/>
        <item x="8"/>
        <item x="9"/>
        <item x="10"/>
        <item x="11"/>
        <item x="18"/>
        <item x="12"/>
        <item x="19"/>
        <item x="31"/>
        <item x="0"/>
        <item x="32"/>
        <item x="13"/>
        <item x="33"/>
        <item x="20"/>
        <item x="34"/>
        <item t="default"/>
      </items>
    </pivotField>
    <pivotField showAll="0"/>
    <pivotField dataField="1" showAll="0"/>
    <pivotField dataField="1" showAll="0"/>
    <pivotField showAll="0" defaultSubtotal="0"/>
    <pivotField showAll="0" defaultSubtotal="0"/>
    <pivotField axis="axisPage" multipleItemSelectionAllowed="1" showAll="0" defaultSubtotal="0">
      <items count="6">
        <item h="1" x="0"/>
        <item h="1" x="1"/>
        <item x="2"/>
        <item h="1" x="3"/>
        <item h="1" x="4"/>
        <item h="1" x="5"/>
      </items>
    </pivotField>
  </pivotFields>
  <rowFields count="1">
    <field x="1"/>
  </rowFields>
  <rowItems count="3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-2"/>
  </colFields>
  <colItems count="2">
    <i>
      <x/>
    </i>
    <i i="1">
      <x v="1"/>
    </i>
  </colItems>
  <pageFields count="1">
    <pageField fld="7" hier="-1"/>
  </pageFields>
  <dataFields count="2">
    <dataField name="Sum of electric_vehicles_sold" fld="3" baseField="0" baseItem="0"/>
    <dataField name="Sum of total_vehicles_sol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062BB9-803F-4510-8FB1-14CA255D2F15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3:C79" firstHeaderRow="0" firstDataRow="1" firstDataCol="1" rowPageCount="1" colPageCount="1"/>
  <pivotFields count="8">
    <pivotField numFmtId="14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axis="axisRow" showAll="0">
      <items count="36">
        <item x="22"/>
        <item x="1"/>
        <item x="25"/>
        <item x="2"/>
        <item x="3"/>
        <item x="14"/>
        <item x="15"/>
        <item x="4"/>
        <item x="16"/>
        <item x="5"/>
        <item x="26"/>
        <item x="27"/>
        <item x="23"/>
        <item x="21"/>
        <item x="6"/>
        <item x="24"/>
        <item x="28"/>
        <item x="29"/>
        <item x="7"/>
        <item x="17"/>
        <item x="30"/>
        <item x="8"/>
        <item x="9"/>
        <item x="10"/>
        <item x="11"/>
        <item x="18"/>
        <item x="12"/>
        <item x="19"/>
        <item x="31"/>
        <item x="0"/>
        <item x="32"/>
        <item x="13"/>
        <item x="33"/>
        <item x="20"/>
        <item x="34"/>
        <item t="default"/>
      </items>
    </pivotField>
    <pivotField showAll="0"/>
    <pivotField dataField="1" showAll="0"/>
    <pivotField dataField="1" showAll="0"/>
    <pivotField showAll="0" defaultSubtotal="0"/>
    <pivotField showAll="0" defaultSubtotal="0"/>
    <pivotField axis="axisPage" multipleItemSelectionAllowed="1" showAll="0" defaultSubtotal="0">
      <items count="6">
        <item h="1" x="0"/>
        <item h="1" x="1"/>
        <item h="1" x="2"/>
        <item h="1" x="3"/>
        <item x="4"/>
        <item h="1" x="5"/>
      </items>
    </pivotField>
  </pivotFields>
  <rowFields count="1">
    <field x="1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-2"/>
  </colFields>
  <colItems count="2">
    <i>
      <x/>
    </i>
    <i i="1">
      <x v="1"/>
    </i>
  </colItems>
  <pageFields count="1">
    <pageField fld="7" hier="-1"/>
  </pageFields>
  <dataFields count="2">
    <dataField name="Sum of electric_vehicles_sold" fld="3" baseField="0" baseItem="0"/>
    <dataField name="Sum of total_vehicles_sol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202729-67F1-4D4E-9410-BF14CB56D21A}" name="PivotTable12" cacheId="2" applyNumberFormats="0" applyBorderFormats="0" applyFontFormats="0" applyPatternFormats="0" applyAlignmentFormats="0" applyWidthHeightFormats="1" dataCaption="Values" tag="005a872a-b313-45ac-9735-82b3f0320856" updatedVersion="8" minRefreshableVersion="3" useAutoFormatting="1" subtotalHiddenItems="1" itemPrintTitles="1" createdVersion="8" indent="0" outline="1" outlineData="1" multipleFieldFilters="0">
  <location ref="A4:G10" firstHeaderRow="1" firstDataRow="2" firstDataCol="1" rowPageCount="2" colPageCount="1"/>
  <pivotFields count="5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3" hier="8" name="[electric_vehicle_sales_by_makers].[vehicle_category].&amp;[4-Wheelers]" cap="4-Wheelers"/>
    <pageField fld="4" hier="1" name="[dim_date].[fiscal_year].[All]" cap="All"/>
  </pageFields>
  <dataFields count="1">
    <dataField name="Sum of electric_vehicles_sold" fld="2" baseField="0" baseItem="0"/>
  </dataFields>
  <pivotHierarchies count="23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electric_vehicle_sales_by_makers].[vehicle_category].&amp;[4-Wheeler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3" iMeasureHier="21">
      <autoFilter ref="A1">
        <filterColumn colId="0">
          <top10 val="5" filterVal="5"/>
        </filterColumn>
      </autoFilter>
    </filter>
  </filters>
  <rowHierarchiesUsage count="1">
    <rowHierarchyUsage hierarchyUsage="2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lectric_vehicle_sales_by_state]"/>
        <x15:activeTabTopLevelEntity name="[dim_date]"/>
        <x15:activeTabTopLevelEntity name="[electric_vehicle_sales_by_mak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BFAB05-2030-44F9-A3EB-1F0B66080298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 rowPageCount="1" colPageCount="1"/>
  <pivotFields count="8">
    <pivotField numFmtId="14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axis="axisRow" showAll="0">
      <items count="36">
        <item h="1" x="22"/>
        <item h="1" x="1"/>
        <item h="1" x="25"/>
        <item h="1" x="2"/>
        <item h="1" x="3"/>
        <item h="1" x="14"/>
        <item h="1" x="15"/>
        <item h="1" x="4"/>
        <item x="16"/>
        <item h="1" x="5"/>
        <item h="1" x="26"/>
        <item h="1" x="27"/>
        <item h="1" x="23"/>
        <item h="1" x="21"/>
        <item h="1" x="6"/>
        <item h="1" x="24"/>
        <item x="28"/>
        <item h="1" x="29"/>
        <item h="1" x="7"/>
        <item h="1" x="17"/>
        <item h="1" x="30"/>
        <item h="1" x="8"/>
        <item h="1" x="9"/>
        <item h="1" x="10"/>
        <item h="1" x="11"/>
        <item h="1" x="18"/>
        <item h="1" x="12"/>
        <item h="1" x="19"/>
        <item h="1" x="31"/>
        <item h="1" x="0"/>
        <item h="1" x="32"/>
        <item h="1" x="13"/>
        <item h="1" x="33"/>
        <item h="1" x="20"/>
        <item h="1" x="34"/>
        <item t="default"/>
      </items>
    </pivotField>
    <pivotField showAll="0">
      <items count="3">
        <item x="0"/>
        <item x="1"/>
        <item t="default"/>
      </items>
    </pivotField>
    <pivotField dataField="1" showAll="0"/>
    <pivotField dataField="1" showAll="0"/>
    <pivotField showAll="0" defaultSubtotal="0"/>
    <pivotField showAll="0" defaultSubtotal="0"/>
    <pivotField axis="axisPage" multipleItemSelectionAllowed="1" showAll="0" defaultSubtotal="0">
      <items count="6">
        <item h="1" x="0"/>
        <item h="1" x="1"/>
        <item h="1" x="2"/>
        <item h="1" x="3"/>
        <item x="4"/>
        <item h="1" x="5"/>
      </items>
    </pivotField>
  </pivotFields>
  <rowFields count="1">
    <field x="1"/>
  </rowFields>
  <rowItems count="3">
    <i>
      <x v="8"/>
    </i>
    <i>
      <x v="16"/>
    </i>
    <i t="grand">
      <x/>
    </i>
  </rowItems>
  <colFields count="1">
    <field x="-2"/>
  </colFields>
  <colItems count="2">
    <i>
      <x/>
    </i>
    <i i="1">
      <x v="1"/>
    </i>
  </colItems>
  <pageFields count="1">
    <pageField fld="7" hier="-1"/>
  </pageFields>
  <dataFields count="2">
    <dataField name="Sum of electric_vehicles_sold" fld="3" baseField="0" baseItem="0"/>
    <dataField name="Sum of total_vehicles_sol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397D9E-67B6-43A9-B4B3-EFE500A2FADE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5" firstHeaderRow="1" firstDataRow="2" firstDataCol="1" rowPageCount="1" colPageCount="1"/>
  <pivotFields count="7">
    <pivotField numFmtId="14" showAll="0">
      <items count="37">
        <item x="0"/>
        <item x="2"/>
        <item x="3"/>
        <item x="4"/>
        <item x="5"/>
        <item x="6"/>
        <item x="7"/>
        <item x="8"/>
        <item x="16"/>
        <item x="18"/>
        <item x="20"/>
        <item x="22"/>
        <item x="1"/>
        <item x="9"/>
        <item x="10"/>
        <item x="11"/>
        <item x="12"/>
        <item x="13"/>
        <item x="14"/>
        <item x="15"/>
        <item x="17"/>
        <item x="19"/>
        <item x="21"/>
        <item x="34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axis="axisRow" showAll="0">
      <items count="27">
        <item x="14"/>
        <item x="15"/>
        <item x="19"/>
        <item x="24"/>
        <item x="20"/>
        <item x="23"/>
        <item x="4"/>
        <item x="2"/>
        <item x="12"/>
        <item x="11"/>
        <item x="21"/>
        <item x="6"/>
        <item x="25"/>
        <item x="10"/>
        <item x="7"/>
        <item x="9"/>
        <item x="1"/>
        <item x="13"/>
        <item x="0"/>
        <item x="22"/>
        <item x="3"/>
        <item x="16"/>
        <item x="18"/>
        <item x="8"/>
        <item x="17"/>
        <item x="5"/>
        <item t="default"/>
      </items>
    </pivotField>
    <pivotField dataField="1" showAll="0"/>
    <pivotField showAll="0" defaultSubtotal="0"/>
    <pivotField showAll="0" defaultSubtotal="0"/>
    <pivotField axis="axisCol" multipleItemSelectionAllowed="1" showAll="0" defaultSubtotal="0">
      <items count="6">
        <item h="1" x="0"/>
        <item h="1" x="1"/>
        <item x="2"/>
        <item h="1" x="3"/>
        <item x="4"/>
        <item h="1" x="5"/>
      </items>
    </pivotField>
  </pivotFields>
  <rowFields count="1">
    <field x="2"/>
  </rowFields>
  <rowItems count="11">
    <i>
      <x v="6"/>
    </i>
    <i>
      <x v="7"/>
    </i>
    <i>
      <x v="9"/>
    </i>
    <i>
      <x v="11"/>
    </i>
    <i>
      <x v="13"/>
    </i>
    <i>
      <x v="14"/>
    </i>
    <i>
      <x v="15"/>
    </i>
    <i>
      <x v="20"/>
    </i>
    <i>
      <x v="23"/>
    </i>
    <i>
      <x v="25"/>
    </i>
    <i t="grand">
      <x/>
    </i>
  </rowItems>
  <colFields count="1">
    <field x="6"/>
  </colFields>
  <colItems count="3">
    <i>
      <x v="2"/>
    </i>
    <i>
      <x v="4"/>
    </i>
    <i t="grand">
      <x/>
    </i>
  </colItems>
  <pageFields count="1">
    <pageField fld="1" hier="-1"/>
  </pageFields>
  <dataFields count="1">
    <dataField name="Sum of electric_vehicles_sold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8A849A-6AA1-4E0D-965F-96C2CF8268AC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0" firstHeaderRow="1" firstDataRow="2" firstDataCol="1"/>
  <pivotFields count="8">
    <pivotField numFmtId="14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axis="axisRow" showAll="0">
      <items count="36">
        <item x="22"/>
        <item x="1"/>
        <item x="25"/>
        <item x="2"/>
        <item x="3"/>
        <item x="14"/>
        <item x="15"/>
        <item x="4"/>
        <item x="16"/>
        <item x="5"/>
        <item x="26"/>
        <item x="27"/>
        <item x="23"/>
        <item x="21"/>
        <item x="6"/>
        <item x="24"/>
        <item x="28"/>
        <item x="29"/>
        <item x="7"/>
        <item x="17"/>
        <item x="30"/>
        <item x="8"/>
        <item x="9"/>
        <item x="10"/>
        <item x="11"/>
        <item x="18"/>
        <item x="12"/>
        <item x="19"/>
        <item x="31"/>
        <item x="0"/>
        <item x="32"/>
        <item x="13"/>
        <item x="33"/>
        <item x="20"/>
        <item x="34"/>
        <item t="default"/>
      </items>
    </pivotField>
    <pivotField showAll="0"/>
    <pivotField showAll="0"/>
    <pivotField dataField="1" showAll="0"/>
    <pivotField showAll="0" defaultSubtotal="0"/>
    <pivotField showAll="0" defaultSubtotal="0"/>
    <pivotField axis="axisCol" multipleItemSelectionAllowed="1" showAll="0" defaultSubtotal="0">
      <items count="6">
        <item h="1" x="0"/>
        <item h="1" x="1"/>
        <item x="2"/>
        <item h="1" x="3"/>
        <item x="4"/>
        <item h="1" x="5"/>
      </items>
    </pivotField>
  </pivotFields>
  <rowFields count="1">
    <field x="1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7"/>
  </colFields>
  <colItems count="3">
    <i>
      <x v="2"/>
    </i>
    <i>
      <x v="4"/>
    </i>
    <i t="grand">
      <x/>
    </i>
  </colItems>
  <dataFields count="1">
    <dataField name="Sum of total_vehicles_sol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54A343-BF70-4889-B90F-67AC738C74F9}" name="PivotTable3" cacheId="3" applyNumberFormats="0" applyBorderFormats="0" applyFontFormats="0" applyPatternFormats="0" applyAlignmentFormats="0" applyWidthHeightFormats="1" dataCaption="Values" tag="4e597b69-1fb9-43ab-aaa9-6a2ab9f20b09" updatedVersion="8" minRefreshableVersion="3" useAutoFormatting="1" subtotalHiddenItems="1" itemPrintTitles="1" createdVersion="8" indent="0" outline="1" outlineData="1" multipleFieldFilters="0">
  <location ref="A3:B16" firstHeaderRow="1" firstDataRow="1" firstDataCol="1"/>
  <pivotFields count="2"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electric_vehicles_sold" fld="1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lectric_vehicle_sales_by_makers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00FA1F-981C-4B55-9EF0-44E53AAE98FA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0" firstHeaderRow="1" firstDataRow="2" firstDataCol="1"/>
  <pivotFields count="8">
    <pivotField numFmtId="14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axis="axisRow" showAll="0">
      <items count="36">
        <item x="22"/>
        <item x="1"/>
        <item x="25"/>
        <item x="2"/>
        <item x="3"/>
        <item x="14"/>
        <item x="15"/>
        <item x="4"/>
        <item x="16"/>
        <item x="5"/>
        <item x="26"/>
        <item x="27"/>
        <item x="23"/>
        <item x="21"/>
        <item x="6"/>
        <item x="24"/>
        <item x="28"/>
        <item x="29"/>
        <item x="7"/>
        <item x="17"/>
        <item x="30"/>
        <item x="8"/>
        <item x="9"/>
        <item x="10"/>
        <item x="11"/>
        <item x="18"/>
        <item x="12"/>
        <item x="19"/>
        <item x="31"/>
        <item x="0"/>
        <item x="32"/>
        <item x="13"/>
        <item x="33"/>
        <item x="20"/>
        <item x="34"/>
        <item t="default"/>
      </items>
    </pivotField>
    <pivotField showAll="0"/>
    <pivotField dataField="1" showAll="0"/>
    <pivotField showAll="0"/>
    <pivotField showAll="0" defaultSubtotal="0"/>
    <pivotField showAll="0" defaultSubtotal="0"/>
    <pivotField axis="axisCol" showAll="0" defaultSubtotal="0">
      <items count="6">
        <item h="1" x="0"/>
        <item h="1" x="1"/>
        <item x="2"/>
        <item h="1" x="3"/>
        <item x="4"/>
        <item h="1" x="5"/>
      </items>
    </pivotField>
  </pivotFields>
  <rowFields count="1">
    <field x="1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7"/>
  </colFields>
  <colItems count="3">
    <i>
      <x v="2"/>
    </i>
    <i>
      <x v="4"/>
    </i>
    <i t="grand">
      <x/>
    </i>
  </colItems>
  <dataFields count="1">
    <dataField name="Sum of electric_vehicles_sold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1FB626-9089-4B65-9FC1-2B4693CB7449}" name="PivotTable7" cacheId="4" applyNumberFormats="0" applyBorderFormats="0" applyFontFormats="0" applyPatternFormats="0" applyAlignmentFormats="0" applyWidthHeightFormats="1" dataCaption="Values" tag="1a28c566-f3b8-44c8-9a40-c8222f41017e" updatedVersion="8" minRefreshableVersion="3" useAutoFormatting="1" itemPrintTitles="1" createdVersion="8" indent="0" outline="1" outlineData="1" multipleFieldFilters="0">
  <location ref="D3:E7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3">
        <item s="1" x="0"/>
        <item s="1" x="1"/>
        <item s="1" x="2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8" name="[electric_vehicle_sales_by_makers].[vehicle_category].&amp;[4-Wheelers]" cap="4-Wheelers"/>
  </pageFields>
  <dataFields count="1">
    <dataField name="Sum of electric_vehicles_sold" fld="1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electric_vehicle_sales_by_makers].[vehicle_category].&amp;[4-Wheeler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lectric_vehicle_sales_by_state]"/>
        <x15:activeTabTopLevelEntity name="[dim_date]"/>
        <x15:activeTabTopLevelEntity name="[electric_vehicle_sales_by_mak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1D7200-A024-4ACE-99E2-109C627E1CEA}" name="PivotTable6" cacheId="5" applyNumberFormats="0" applyBorderFormats="0" applyFontFormats="0" applyPatternFormats="0" applyAlignmentFormats="0" applyWidthHeightFormats="1" dataCaption="Values" tag="adf6f1a8-a056-4bce-9a7b-a1897a47316b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3">
        <item s="1" x="0"/>
        <item s="1" x="1"/>
        <item s="1" x="2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8" name="[electric_vehicle_sales_by_makers].[vehicle_category].&amp;[2-Wheelers]" cap="2-Wheelers"/>
  </pageFields>
  <dataFields count="1">
    <dataField name="Sum of electric_vehicles_sold" fld="1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electric_vehicle_sales_by_makers].[vehicle_category].&amp;[2-Wheeler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lectric_vehicle_sales_by_state]"/>
        <x15:activeTabTopLevelEntity name="[dim_date]"/>
        <x15:activeTabTopLevelEntity name="[electric_vehicle_sales_by_mak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ECAFA9-C8F5-47FF-ABF1-F01ABE359A68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88:B89" firstHeaderRow="1" firstDataRow="1" firstDataCol="0" rowPageCount="1" colPageCount="1"/>
  <pivotFields count="8">
    <pivotField numFmtId="14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showAll="0"/>
    <pivotField axis="axisPage" multipleItemSelectionAllowed="1" showAll="0">
      <items count="3">
        <item x="0"/>
        <item h="1" x="1"/>
        <item t="default"/>
      </items>
    </pivotField>
    <pivotField dataField="1"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Items count="1">
    <i/>
  </rowItems>
  <colItems count="1">
    <i/>
  </colItems>
  <pageFields count="1">
    <pageField fld="2" hier="-1"/>
  </pageFields>
  <dataFields count="1">
    <dataField name="Sum of electric_vehicles_sold" fld="3" baseField="0" baseItem="0" numFmtId="166"/>
  </dataFields>
  <formats count="1">
    <format dxfId="15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706FA4-FC95-449A-A1E1-7C6041865BC3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:D24" firstHeaderRow="1" firstDataRow="2" firstDataCol="1"/>
  <pivotFields count="8">
    <pivotField numFmtId="14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showAll="0"/>
    <pivotField showAll="0"/>
    <pivotField dataField="1" showAll="0"/>
    <pivotField showAll="0"/>
    <pivotField showAll="0" defaultSubtotal="0"/>
    <pivotField showAll="0" defaultSubtotal="0"/>
    <pivotField axis="axisCol" showAll="0" defaultSubtotal="0">
      <items count="6">
        <item h="1" x="0"/>
        <item h="1" x="1"/>
        <item x="2"/>
        <item h="1" x="3"/>
        <item x="4"/>
        <item h="1" x="5"/>
      </items>
    </pivotField>
  </pivotFields>
  <rowItems count="1">
    <i/>
  </rowItems>
  <colFields count="1">
    <field x="7"/>
  </colFields>
  <colItems count="3">
    <i>
      <x v="2"/>
    </i>
    <i>
      <x v="4"/>
    </i>
    <i t="grand">
      <x/>
    </i>
  </colItems>
  <dataFields count="1">
    <dataField name="Sum of electric_vehicles_sold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71AE37-F923-475B-B8C2-76C669CE756A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F5" firstHeaderRow="1" firstDataRow="2" firstDataCol="1"/>
  <pivotFields count="8">
    <pivotField numFmtId="14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showAll="0"/>
    <pivotField showAll="0"/>
    <pivotField dataField="1"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Col" multipleItemSelectionAllowed="1" showAll="0" defaultSubtotal="0">
      <items count="6">
        <item h="1" sd="0" x="0"/>
        <item h="1" sd="0" x="1"/>
        <item h="1" sd="0" x="2"/>
        <item sd="0" x="3"/>
        <item sd="0" x="4"/>
        <item h="1" sd="0" x="5"/>
      </items>
    </pivotField>
  </pivotFields>
  <rowItems count="1">
    <i/>
  </rowItems>
  <colFields count="1">
    <field x="7"/>
  </colFields>
  <colItems count="3">
    <i>
      <x v="3"/>
    </i>
    <i>
      <x v="4"/>
    </i>
    <i t="grand">
      <x/>
    </i>
  </colItems>
  <dataFields count="1">
    <dataField name="Sum of electric_vehicles_sold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D8B452-9C46-4B22-90E5-D8C383D6CAAE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B10" firstHeaderRow="0" firstDataRow="1" firstDataCol="0"/>
  <pivotFields count="8">
    <pivotField numFmtId="14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showAll="0"/>
    <pivotField showAll="0"/>
    <pivotField dataField="1"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electric_vehicles_sold" fld="3" baseField="0" baseItem="0"/>
    <dataField name="Sum of total_vehicles_sol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EA3EA8-73DD-4266-AE0D-9F83D16BF757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3:B170" firstHeaderRow="1" firstDataRow="1" firstDataCol="1" rowPageCount="1" colPageCount="1"/>
  <pivotFields count="7">
    <pivotField numFmtId="14" showAll="0">
      <items count="37">
        <item x="0"/>
        <item x="2"/>
        <item x="3"/>
        <item x="4"/>
        <item x="5"/>
        <item x="6"/>
        <item x="7"/>
        <item x="8"/>
        <item x="16"/>
        <item x="18"/>
        <item x="20"/>
        <item x="22"/>
        <item x="1"/>
        <item x="9"/>
        <item x="10"/>
        <item x="11"/>
        <item x="12"/>
        <item x="13"/>
        <item x="14"/>
        <item x="15"/>
        <item x="17"/>
        <item x="19"/>
        <item x="21"/>
        <item x="34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  <pivotField axis="axisRow" showAll="0" sortType="ascending">
      <items count="27">
        <item x="5"/>
        <item x="17"/>
        <item x="8"/>
        <item x="18"/>
        <item x="16"/>
        <item x="3"/>
        <item x="22"/>
        <item x="0"/>
        <item x="13"/>
        <item x="1"/>
        <item x="9"/>
        <item x="7"/>
        <item x="10"/>
        <item x="25"/>
        <item x="6"/>
        <item x="21"/>
        <item x="11"/>
        <item x="12"/>
        <item x="2"/>
        <item x="4"/>
        <item x="23"/>
        <item x="20"/>
        <item x="24"/>
        <item x="19"/>
        <item x="15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2"/>
  </rowFields>
  <rowItems count="17">
    <i>
      <x v="22"/>
    </i>
    <i>
      <x v="13"/>
    </i>
    <i>
      <x v="15"/>
    </i>
    <i>
      <x v="20"/>
    </i>
    <i>
      <x v="21"/>
    </i>
    <i>
      <x v="4"/>
    </i>
    <i>
      <x v="9"/>
    </i>
    <i>
      <x v="3"/>
    </i>
    <i>
      <x v="23"/>
    </i>
    <i>
      <x v="6"/>
    </i>
    <i>
      <x v="8"/>
    </i>
    <i>
      <x v="25"/>
    </i>
    <i>
      <x v="17"/>
    </i>
    <i>
      <x v="24"/>
    </i>
    <i>
      <x v="1"/>
    </i>
    <i>
      <x v="7"/>
    </i>
    <i t="grand">
      <x/>
    </i>
  </rowItems>
  <colItems count="1">
    <i/>
  </colItems>
  <pageFields count="1">
    <pageField fld="1" hier="-1"/>
  </pageFields>
  <dataFields count="1">
    <dataField name="Sum of electric_vehicles_sold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CEF1DB-64B1-4412-8EEA-CAAF20D373EF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B20" firstHeaderRow="1" firstDataRow="1" firstDataCol="1"/>
  <pivotFields count="8">
    <pivotField numFmtId="14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axis="axisRow" showAll="0" measureFilter="1">
      <items count="36">
        <item x="22"/>
        <item x="1"/>
        <item x="25"/>
        <item x="2"/>
        <item x="3"/>
        <item x="14"/>
        <item x="15"/>
        <item x="4"/>
        <item x="16"/>
        <item x="5"/>
        <item x="26"/>
        <item x="27"/>
        <item x="23"/>
        <item x="21"/>
        <item x="6"/>
        <item x="24"/>
        <item x="28"/>
        <item x="29"/>
        <item x="7"/>
        <item x="17"/>
        <item x="30"/>
        <item x="8"/>
        <item x="9"/>
        <item x="10"/>
        <item x="11"/>
        <item x="18"/>
        <item x="12"/>
        <item x="19"/>
        <item x="31"/>
        <item x="0"/>
        <item x="32"/>
        <item x="13"/>
        <item x="33"/>
        <item x="20"/>
        <item x="34"/>
        <item t="default"/>
      </items>
    </pivotField>
    <pivotField showAll="0"/>
    <pivotField dataField="1"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2">
    <i>
      <x v="20"/>
    </i>
    <i t="grand">
      <x/>
    </i>
  </rowItems>
  <colItems count="1">
    <i/>
  </colItems>
  <dataFields count="1">
    <dataField name="Sum of electric_vehicles_sold" fld="3" baseField="0" baseItem="0"/>
  </dataFields>
  <formats count="1">
    <format dxfId="16">
      <pivotArea collapsedLevelsAreSubtotals="1" fieldPosition="0">
        <references count="1">
          <reference field="1" count="1">
            <x v="20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181521-A8E3-40AF-AEDF-B23D5E3231F9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88:D89" firstHeaderRow="1" firstDataRow="1" firstDataCol="0" rowPageCount="1" colPageCount="1"/>
  <pivotFields count="8">
    <pivotField numFmtId="14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showAll="0"/>
    <pivotField axis="axisPage" multipleItemSelectionAllowed="1" showAll="0">
      <items count="3">
        <item h="1" x="0"/>
        <item x="1"/>
        <item t="default"/>
      </items>
    </pivotField>
    <pivotField dataField="1"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Items count="1">
    <i/>
  </rowItems>
  <colItems count="1">
    <i/>
  </colItems>
  <pageFields count="1">
    <pageField fld="2" hier="-1"/>
  </pageFields>
  <dataFields count="1">
    <dataField name="Sum of electric_vehicles_sold" fld="3" baseField="0" baseItem="0" numFmtId="166"/>
  </dataFields>
  <formats count="1">
    <format dxfId="17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D4C952-2BD1-4B51-85BC-0A0CF2199933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70:B83" firstHeaderRow="1" firstDataRow="1" firstDataCol="1"/>
  <pivotFields count="8">
    <pivotField numFmtId="14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showAll="0"/>
    <pivotField showAll="0">
      <items count="3">
        <item x="0"/>
        <item x="1"/>
        <item t="default"/>
      </items>
    </pivotField>
    <pivotField dataField="1" showAll="0"/>
    <pivotField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electric_vehicles_sold" fld="3" baseField="0" baseItem="0" numFmtId="166"/>
  </dataFields>
  <formats count="1">
    <format dxfId="18">
      <pivotArea outline="0" collapsedLevelsAreSubtotals="1" fieldPosition="0"/>
    </format>
  </formats>
  <chartFormats count="13">
    <chartFormat chart="3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3" format="32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3" format="33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3" format="34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3" format="35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3" format="36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59DB40-C9E8-4830-8926-7E9AF4815C3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8">
    <pivotField numFmtId="14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Items count="1">
    <i/>
  </rowItems>
  <colItems count="1">
    <i/>
  </colItems>
  <dataFields count="1">
    <dataField name="Sum of electric_vehicles_sold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275AE7-BB24-4115-9176-E2EA7F776CE1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98:B104" firstHeaderRow="1" firstDataRow="1" firstDataCol="1"/>
  <pivotFields count="7">
    <pivotField numFmtId="14" showAll="0">
      <items count="37">
        <item x="0"/>
        <item x="2"/>
        <item x="3"/>
        <item x="4"/>
        <item x="5"/>
        <item x="6"/>
        <item x="7"/>
        <item x="8"/>
        <item x="16"/>
        <item x="18"/>
        <item x="20"/>
        <item x="22"/>
        <item x="1"/>
        <item x="9"/>
        <item x="10"/>
        <item x="11"/>
        <item x="12"/>
        <item x="13"/>
        <item x="14"/>
        <item x="15"/>
        <item x="17"/>
        <item x="19"/>
        <item x="21"/>
        <item x="34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t="default"/>
      </items>
    </pivotField>
    <pivotField showAll="0"/>
    <pivotField axis="axisRow" showAll="0" measureFilter="1" sortType="descending">
      <items count="27">
        <item x="5"/>
        <item x="17"/>
        <item x="8"/>
        <item x="18"/>
        <item x="16"/>
        <item x="3"/>
        <item x="22"/>
        <item x="0"/>
        <item x="13"/>
        <item x="1"/>
        <item x="9"/>
        <item x="7"/>
        <item x="10"/>
        <item x="25"/>
        <item x="6"/>
        <item x="21"/>
        <item x="11"/>
        <item x="12"/>
        <item x="2"/>
        <item x="4"/>
        <item x="23"/>
        <item x="20"/>
        <item x="24"/>
        <item x="19"/>
        <item x="15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2"/>
  </rowFields>
  <rowItems count="6">
    <i>
      <x v="7"/>
    </i>
    <i>
      <x v="1"/>
    </i>
    <i>
      <x v="24"/>
    </i>
    <i>
      <x v="17"/>
    </i>
    <i>
      <x v="25"/>
    </i>
    <i t="grand">
      <x/>
    </i>
  </rowItems>
  <colItems count="1">
    <i/>
  </colItems>
  <dataFields count="1">
    <dataField name="Sum of electric_vehicles_sold" fld="3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324C49-B9D3-45E4-87CA-458BB1D49787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A15" firstHeaderRow="1" firstDataRow="1" firstDataCol="0"/>
  <pivotFields count="8">
    <pivotField numFmtId="14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showAll="0"/>
    <pivotField showAll="0">
      <items count="3">
        <item x="0"/>
        <item x="1"/>
        <item t="default"/>
      </items>
    </pivotField>
    <pivotField dataField="1"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Items count="1">
    <i/>
  </rowItems>
  <colItems count="1">
    <i/>
  </colItems>
  <dataFields count="1">
    <dataField name="Sum of electric_vehicles_sold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117AC9-C9CA-4B35-84A4-CD7ACFE43206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0:C66" firstHeaderRow="0" firstDataRow="1" firstDataCol="1"/>
  <pivotFields count="8">
    <pivotField numFmtId="14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axis="axisRow" showAll="0">
      <items count="36">
        <item x="22"/>
        <item x="1"/>
        <item x="25"/>
        <item x="2"/>
        <item x="3"/>
        <item x="14"/>
        <item x="15"/>
        <item x="4"/>
        <item x="16"/>
        <item x="5"/>
        <item x="26"/>
        <item x="27"/>
        <item x="23"/>
        <item x="21"/>
        <item x="6"/>
        <item x="24"/>
        <item x="28"/>
        <item x="29"/>
        <item x="7"/>
        <item x="17"/>
        <item x="30"/>
        <item x="8"/>
        <item x="9"/>
        <item x="10"/>
        <item x="11"/>
        <item x="18"/>
        <item x="12"/>
        <item x="19"/>
        <item x="31"/>
        <item x="0"/>
        <item x="32"/>
        <item x="13"/>
        <item x="33"/>
        <item x="20"/>
        <item x="34"/>
        <item t="default"/>
      </items>
    </pivotField>
    <pivotField showAll="0"/>
    <pivotField dataField="1"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lectric_vehicles_sold" fld="3" baseField="0" baseItem="0"/>
    <dataField name="Sum of total_vehicles_sol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638EE1-CF25-47B3-B84A-87CC4B5BC9CE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9:C145" firstHeaderRow="0" firstDataRow="1" firstDataCol="1"/>
  <pivotFields count="8">
    <pivotField numFmtId="14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axis="axisRow" showAll="0">
      <items count="36">
        <item x="22"/>
        <item x="1"/>
        <item x="25"/>
        <item x="2"/>
        <item x="3"/>
        <item x="14"/>
        <item x="15"/>
        <item x="4"/>
        <item x="16"/>
        <item x="5"/>
        <item x="26"/>
        <item x="27"/>
        <item x="23"/>
        <item x="21"/>
        <item x="6"/>
        <item x="24"/>
        <item x="28"/>
        <item x="29"/>
        <item x="7"/>
        <item x="17"/>
        <item x="30"/>
        <item x="8"/>
        <item x="9"/>
        <item x="10"/>
        <item x="11"/>
        <item x="18"/>
        <item x="12"/>
        <item x="19"/>
        <item x="31"/>
        <item x="0"/>
        <item x="32"/>
        <item x="13"/>
        <item x="33"/>
        <item x="20"/>
        <item x="34"/>
        <item t="default"/>
      </items>
    </pivotField>
    <pivotField showAll="0">
      <items count="3">
        <item x="0"/>
        <item x="1"/>
        <item t="default"/>
      </items>
    </pivotField>
    <pivotField dataField="1" showAll="0"/>
    <pivotField dataField="1" showAll="0"/>
    <pivotField showAll="0" defaultSubtotal="0"/>
    <pivotField showAll="0" defaultSubtotal="0"/>
    <pivotField multipleItemSelectionAllowed="1" showAll="0" defaultSubtotal="0">
      <items count="6">
        <item h="1" x="0"/>
        <item h="1" x="1"/>
        <item h="1" x="2"/>
        <item h="1" x="3"/>
        <item x="4"/>
        <item h="1" x="5"/>
      </items>
    </pivotField>
  </pivotFields>
  <rowFields count="1">
    <field x="1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lectric_vehicles_sold" fld="3" baseField="0" baseItem="0"/>
    <dataField name="Sum of total_vehicles_sol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30FC4137-933F-49FC-8757-6238E941838B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state" tableColumnId="2"/>
      <queryTableField id="3" name="vehicle_category" tableColumnId="3"/>
      <queryTableField id="4" name="electric_vehicles_sold" tableColumnId="4"/>
      <queryTableField id="5" name="total_vehicles_sold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4D4D21F0-8104-450C-BACB-DCC718D7A73F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vehicle_category" tableColumnId="2"/>
      <queryTableField id="3" name="maker" tableColumnId="3"/>
      <queryTableField id="4" name="electric_vehicles_sold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D44F78B-4B60-4170-95F5-A83B989FA90F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date" tableColumnId="1"/>
      <queryTableField id="2" name="fiscal_year" tableColumnId="2"/>
      <queryTableField id="3" name="quarter" tableColumnId="3"/>
      <queryTableField id="4" dataBound="0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7D8ADD2-5A52-4938-B1A3-0DBB8B55E8BE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9DE5355-F707-485B-AB2B-078AD3C8A342}" name="electric_vehicle_sales_by_state" displayName="electric_vehicle_sales_by_state" ref="A1:E2446" tableType="queryTable" totalsRowShown="0">
  <autoFilter ref="A1:E2446" xr:uid="{39DE5355-F707-485B-AB2B-078AD3C8A342}"/>
  <tableColumns count="5">
    <tableColumn id="1" xr3:uid="{7AFC61EC-AB35-49D0-972B-E1ED0CEEDF6C}" uniqueName="1" name="date" queryTableFieldId="1" dataDxfId="14"/>
    <tableColumn id="2" xr3:uid="{D936483C-4127-4C26-8C9E-E4391F6191F3}" uniqueName="2" name="state" queryTableFieldId="2" dataDxfId="13"/>
    <tableColumn id="3" xr3:uid="{1587F8AC-3160-4AF2-81EF-5E7700871F0D}" uniqueName="3" name="vehicle_category" queryTableFieldId="3" dataDxfId="12"/>
    <tableColumn id="4" xr3:uid="{D517D458-B121-4E5A-B53D-CC864C72002B}" uniqueName="4" name="electric_vehicles_sold" queryTableFieldId="4"/>
    <tableColumn id="5" xr3:uid="{CAF17C1A-B141-45F5-AD3F-7615290B42CC}" uniqueName="5" name="total_vehicles_sold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737230-9FB1-4DAC-B5E6-31C3433E8967}" name="electric_vehicle_sales_by_makers" displayName="electric_vehicle_sales_by_makers" ref="A1:D817" tableType="queryTable" totalsRowShown="0">
  <autoFilter ref="A1:D817" xr:uid="{E9737230-9FB1-4DAC-B5E6-31C3433E8967}"/>
  <tableColumns count="4">
    <tableColumn id="1" xr3:uid="{BB88EC34-D0A1-4180-892B-0FCD5BCD4D9F}" uniqueName="1" name="date" queryTableFieldId="1" dataDxfId="11"/>
    <tableColumn id="2" xr3:uid="{50BE508A-BEA3-49F9-A690-B1E3CC08BF92}" uniqueName="2" name="vehicle_category" queryTableFieldId="2" dataDxfId="10"/>
    <tableColumn id="3" xr3:uid="{E11F2E8C-509F-47E6-AE0E-DB6D5C0D7622}" uniqueName="3" name="maker" queryTableFieldId="3" dataDxfId="9"/>
    <tableColumn id="4" xr3:uid="{740CAA08-F8AE-47DB-8E5D-A96F0C2F40BA}" uniqueName="4" name="electric_vehicles_sold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8FBC84-76FF-4B19-82F6-4F5C1DF2CEFB}" name="dim_date" displayName="dim_date" ref="A1:D37" tableType="queryTable" totalsRowShown="0">
  <autoFilter ref="A1:D37" xr:uid="{EA8FBC84-76FF-4B19-82F6-4F5C1DF2CEFB}"/>
  <tableColumns count="4">
    <tableColumn id="1" xr3:uid="{E78D3684-EF39-49C4-B0DD-32CCBADE0A27}" uniqueName="1" name="date" queryTableFieldId="1" dataDxfId="8"/>
    <tableColumn id="2" xr3:uid="{01AA3CED-74B8-4F05-AF08-34EA229DC4A6}" uniqueName="2" name="fiscal_year" queryTableFieldId="2"/>
    <tableColumn id="3" xr3:uid="{CC5863B9-E6EE-4CAE-8843-CDEFBEAB668F}" uniqueName="3" name="quarter" queryTableFieldId="3" dataDxfId="7"/>
    <tableColumn id="4" xr3:uid="{BAABB941-AAAB-442B-855E-AE2AFDEAEC53}" uniqueName="4" name="Month_Name" queryTableFieldId="4" dataDxfId="6">
      <calculatedColumnFormula>TEXT(dim_date[[#This Row],[date]],"mmm")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7674DD-3B89-4460-9D00-B2C03AA5F43B}" name="datasets" displayName="datasets" ref="A1:F4" tableType="queryTable" totalsRowShown="0">
  <autoFilter ref="A1:F4" xr:uid="{FB7674DD-3B89-4460-9D00-B2C03AA5F43B}"/>
  <tableColumns count="6">
    <tableColumn id="1" xr3:uid="{677ADFDD-366B-4B75-B9B1-3609FB5F137D}" uniqueName="1" name="Name" queryTableFieldId="1" dataDxfId="5"/>
    <tableColumn id="2" xr3:uid="{8013DCE2-3E79-4408-BD6C-3CBF99CEFF4F}" uniqueName="2" name="Extension" queryTableFieldId="2" dataDxfId="4"/>
    <tableColumn id="3" xr3:uid="{F69D2C35-C45D-4035-8554-DCDC43A6D3FC}" uniqueName="3" name="Date accessed" queryTableFieldId="3" dataDxfId="3"/>
    <tableColumn id="4" xr3:uid="{7CB5D745-407C-49DD-A798-7CD4CFDF899C}" uniqueName="4" name="Date modified" queryTableFieldId="4" dataDxfId="2"/>
    <tableColumn id="5" xr3:uid="{0A76BCB4-4F76-454C-B290-47D15293FDBF}" uniqueName="5" name="Date created" queryTableFieldId="5" dataDxfId="1"/>
    <tableColumn id="6" xr3:uid="{0BB18515-2F89-4261-AE30-BB15BC543E28}" uniqueName="6" name="Folder Path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4.xml"/><Relationship Id="rId13" Type="http://schemas.openxmlformats.org/officeDocument/2006/relationships/pivotTable" Target="../pivotTables/pivotTable29.xml"/><Relationship Id="rId3" Type="http://schemas.openxmlformats.org/officeDocument/2006/relationships/pivotTable" Target="../pivotTables/pivotTable19.xml"/><Relationship Id="rId7" Type="http://schemas.openxmlformats.org/officeDocument/2006/relationships/pivotTable" Target="../pivotTables/pivotTable23.xml"/><Relationship Id="rId12" Type="http://schemas.openxmlformats.org/officeDocument/2006/relationships/pivotTable" Target="../pivotTables/pivotTable28.xml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Relationship Id="rId6" Type="http://schemas.openxmlformats.org/officeDocument/2006/relationships/pivotTable" Target="../pivotTables/pivotTable22.xml"/><Relationship Id="rId11" Type="http://schemas.openxmlformats.org/officeDocument/2006/relationships/pivotTable" Target="../pivotTables/pivotTable27.xml"/><Relationship Id="rId5" Type="http://schemas.openxmlformats.org/officeDocument/2006/relationships/pivotTable" Target="../pivotTables/pivotTable21.xml"/><Relationship Id="rId10" Type="http://schemas.openxmlformats.org/officeDocument/2006/relationships/pivotTable" Target="../pivotTables/pivotTable26.xml"/><Relationship Id="rId4" Type="http://schemas.openxmlformats.org/officeDocument/2006/relationships/pivotTable" Target="../pivotTables/pivotTable20.xml"/><Relationship Id="rId9" Type="http://schemas.openxmlformats.org/officeDocument/2006/relationships/pivotTable" Target="../pivotTables/pivotTable25.xml"/><Relationship Id="rId14" Type="http://schemas.openxmlformats.org/officeDocument/2006/relationships/drawing" Target="../drawings/drawing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9F2F6-1880-4871-81CB-E92DF203C388}">
  <dimension ref="F6:L17"/>
  <sheetViews>
    <sheetView tabSelected="1" workbookViewId="0">
      <selection activeCell="O12" sqref="O12"/>
    </sheetView>
  </sheetViews>
  <sheetFormatPr defaultRowHeight="14.5" x14ac:dyDescent="0.35"/>
  <cols>
    <col min="7" max="7" width="13" customWidth="1"/>
    <col min="8" max="8" width="11.26953125" customWidth="1"/>
    <col min="10" max="10" width="13.1796875" customWidth="1"/>
    <col min="11" max="11" width="15.36328125" bestFit="1" customWidth="1"/>
    <col min="12" max="12" width="15.1796875" customWidth="1"/>
  </cols>
  <sheetData>
    <row r="6" spans="6:12" x14ac:dyDescent="0.35">
      <c r="F6" s="25" t="s">
        <v>96</v>
      </c>
      <c r="G6" s="25"/>
      <c r="H6" s="25"/>
      <c r="J6" s="25" t="s">
        <v>99</v>
      </c>
      <c r="K6" s="25"/>
      <c r="L6" s="25"/>
    </row>
    <row r="7" spans="6:12" x14ac:dyDescent="0.35">
      <c r="F7" s="5" t="s">
        <v>93</v>
      </c>
      <c r="G7" s="5" t="s">
        <v>94</v>
      </c>
      <c r="H7" s="5" t="s">
        <v>95</v>
      </c>
      <c r="J7" s="5" t="s">
        <v>98</v>
      </c>
      <c r="K7" s="5" t="s">
        <v>94</v>
      </c>
      <c r="L7" s="5" t="s">
        <v>97</v>
      </c>
    </row>
    <row r="8" spans="6:12" x14ac:dyDescent="0.35">
      <c r="F8" s="5">
        <v>1</v>
      </c>
      <c r="G8" s="5" t="str">
        <f>'Q1.Waste'!C10</f>
        <v>OLA ELECTRIC</v>
      </c>
      <c r="H8" s="5">
        <f>'Q1.Waste'!D10</f>
        <v>271925</v>
      </c>
      <c r="J8" s="5">
        <v>1</v>
      </c>
      <c r="K8" s="5" t="str">
        <f>'Q1.Waste'!F9</f>
        <v>BEING</v>
      </c>
      <c r="L8" s="5">
        <f>'Q1.Waste'!G9</f>
        <v>1354</v>
      </c>
    </row>
    <row r="9" spans="6:12" x14ac:dyDescent="0.35">
      <c r="F9" s="5">
        <v>2</v>
      </c>
      <c r="G9" s="5" t="str">
        <f>'Q1.Waste'!C11</f>
        <v>TVS</v>
      </c>
      <c r="H9" s="5">
        <f>'Q1.Waste'!D11</f>
        <v>165030</v>
      </c>
      <c r="J9" s="5">
        <v>2</v>
      </c>
      <c r="K9" s="5" t="str">
        <f>'Q1.Waste'!F10</f>
        <v>JITENDRA</v>
      </c>
      <c r="L9" s="5">
        <f>'Q1.Waste'!G10</f>
        <v>1180</v>
      </c>
    </row>
    <row r="10" spans="6:12" x14ac:dyDescent="0.35">
      <c r="F10" s="5">
        <v>3</v>
      </c>
      <c r="G10" s="5" t="str">
        <f>'Q1.Waste'!C9</f>
        <v>ATHER</v>
      </c>
      <c r="H10" s="5">
        <f>'Q1.Waste'!D9</f>
        <v>103812</v>
      </c>
      <c r="J10" s="5">
        <v>3</v>
      </c>
      <c r="K10" s="5" t="str">
        <f>'Q1.Waste'!F11</f>
        <v>PURE EV</v>
      </c>
      <c r="L10" s="5">
        <f>'Q1.Waste'!G11</f>
        <v>1789</v>
      </c>
    </row>
    <row r="13" spans="6:12" x14ac:dyDescent="0.35">
      <c r="F13" s="25" t="s">
        <v>100</v>
      </c>
      <c r="G13" s="25"/>
      <c r="H13" s="25"/>
      <c r="J13" s="25" t="s">
        <v>101</v>
      </c>
      <c r="K13" s="25"/>
      <c r="L13" s="25"/>
    </row>
    <row r="14" spans="6:12" x14ac:dyDescent="0.35">
      <c r="F14" s="5" t="s">
        <v>93</v>
      </c>
      <c r="G14" s="5" t="s">
        <v>94</v>
      </c>
      <c r="H14" s="5" t="s">
        <v>97</v>
      </c>
      <c r="J14" s="5" t="s">
        <v>98</v>
      </c>
      <c r="K14" s="5" t="s">
        <v>94</v>
      </c>
      <c r="L14" s="5" t="s">
        <v>97</v>
      </c>
    </row>
    <row r="15" spans="6:12" x14ac:dyDescent="0.35">
      <c r="F15" s="5">
        <v>1</v>
      </c>
      <c r="G15" s="5" t="str">
        <f>'Q1.Waste'!C19</f>
        <v>OLA ELECTRIC</v>
      </c>
      <c r="H15" s="5">
        <f>'Q1.Waste'!D19</f>
        <v>110872</v>
      </c>
      <c r="J15" s="5">
        <v>1</v>
      </c>
      <c r="K15" s="5" t="str">
        <f>'Q1.Waste'!F19</f>
        <v>HERO ELECTRIC</v>
      </c>
      <c r="L15" s="5">
        <f>'Q1.Waste'!G19</f>
        <v>1052</v>
      </c>
    </row>
    <row r="16" spans="6:12" x14ac:dyDescent="0.35">
      <c r="F16" s="5">
        <v>2</v>
      </c>
      <c r="G16" s="5" t="str">
        <f>'Q1.Waste'!C20</f>
        <v>TVS</v>
      </c>
      <c r="H16" s="5">
        <f>'Q1.Waste'!D20</f>
        <v>55742</v>
      </c>
      <c r="J16" s="5">
        <v>2</v>
      </c>
      <c r="K16" s="5" t="str">
        <f>'Q1.Waste'!F20</f>
        <v>BATTRE ELECTRIC</v>
      </c>
      <c r="L16" s="5">
        <f>'Q1.Waste'!G20</f>
        <v>1128</v>
      </c>
    </row>
    <row r="17" spans="6:12" x14ac:dyDescent="0.35">
      <c r="F17" s="5">
        <v>3</v>
      </c>
      <c r="G17" s="5" t="str">
        <f>'Q1.Waste'!C21</f>
        <v>BAJAJ</v>
      </c>
      <c r="H17" s="5">
        <f>'Q1.Waste'!D21</f>
        <v>40072</v>
      </c>
      <c r="J17" s="5">
        <v>3</v>
      </c>
      <c r="K17" s="5" t="str">
        <f>'Q1.Waste'!F21</f>
        <v>REVOLT</v>
      </c>
      <c r="L17" s="5">
        <f>'Q1.Waste'!G21</f>
        <v>1582</v>
      </c>
    </row>
  </sheetData>
  <sortState xmlns:xlrd2="http://schemas.microsoft.com/office/spreadsheetml/2017/richdata2" ref="F8:H12">
    <sortCondition descending="1" ref="H9:H12"/>
  </sortState>
  <mergeCells count="4">
    <mergeCell ref="F6:H6"/>
    <mergeCell ref="J6:L6"/>
    <mergeCell ref="F13:H13"/>
    <mergeCell ref="J13:L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B49B3-E11A-4331-9019-B9937A8509B1}">
  <dimension ref="C5:G22"/>
  <sheetViews>
    <sheetView topLeftCell="A2" workbookViewId="0">
      <selection activeCell="F21" sqref="F21"/>
    </sheetView>
  </sheetViews>
  <sheetFormatPr defaultRowHeight="14.5" x14ac:dyDescent="0.35"/>
  <cols>
    <col min="1" max="1" width="14.7265625" bestFit="1" customWidth="1"/>
    <col min="2" max="2" width="25.453125" bestFit="1" customWidth="1"/>
    <col min="3" max="3" width="14.7265625" bestFit="1" customWidth="1"/>
    <col min="4" max="4" width="25.453125" bestFit="1" customWidth="1"/>
    <col min="6" max="6" width="15.36328125" bestFit="1" customWidth="1"/>
    <col min="7" max="7" width="25.453125" bestFit="1" customWidth="1"/>
  </cols>
  <sheetData>
    <row r="5" spans="3:7" x14ac:dyDescent="0.35">
      <c r="C5" s="3" t="s">
        <v>18</v>
      </c>
      <c r="D5" t="s">
        <v>21</v>
      </c>
      <c r="F5" s="3" t="s">
        <v>18</v>
      </c>
      <c r="G5" t="s">
        <v>21</v>
      </c>
    </row>
    <row r="6" spans="3:7" x14ac:dyDescent="0.35">
      <c r="C6" s="3" t="s">
        <v>92</v>
      </c>
      <c r="D6" t="s">
        <v>90</v>
      </c>
      <c r="F6" s="3" t="s">
        <v>92</v>
      </c>
      <c r="G6" t="s">
        <v>90</v>
      </c>
    </row>
    <row r="8" spans="3:7" x14ac:dyDescent="0.35">
      <c r="C8" s="3" t="s">
        <v>86</v>
      </c>
      <c r="D8" t="s">
        <v>88</v>
      </c>
      <c r="F8" s="3" t="s">
        <v>86</v>
      </c>
      <c r="G8" t="s">
        <v>88</v>
      </c>
    </row>
    <row r="9" spans="3:7" x14ac:dyDescent="0.35">
      <c r="C9" s="4" t="s">
        <v>38</v>
      </c>
      <c r="D9">
        <v>103812</v>
      </c>
      <c r="F9" s="4" t="s">
        <v>43</v>
      </c>
      <c r="G9">
        <v>1354</v>
      </c>
    </row>
    <row r="10" spans="3:7" x14ac:dyDescent="0.35">
      <c r="C10" s="4" t="s">
        <v>22</v>
      </c>
      <c r="D10">
        <v>271925</v>
      </c>
      <c r="F10" s="4" t="s">
        <v>44</v>
      </c>
      <c r="G10">
        <v>1180</v>
      </c>
    </row>
    <row r="11" spans="3:7" x14ac:dyDescent="0.35">
      <c r="C11" s="4" t="s">
        <v>40</v>
      </c>
      <c r="D11">
        <v>165030</v>
      </c>
      <c r="F11" s="4" t="s">
        <v>39</v>
      </c>
      <c r="G11">
        <v>1789</v>
      </c>
    </row>
    <row r="12" spans="3:7" x14ac:dyDescent="0.35">
      <c r="C12" s="4" t="s">
        <v>87</v>
      </c>
      <c r="D12">
        <v>540767</v>
      </c>
      <c r="F12" s="4" t="s">
        <v>87</v>
      </c>
      <c r="G12">
        <v>4323</v>
      </c>
    </row>
    <row r="15" spans="3:7" x14ac:dyDescent="0.35">
      <c r="C15" s="3" t="s">
        <v>18</v>
      </c>
      <c r="D15" t="s">
        <v>21</v>
      </c>
      <c r="F15" s="3" t="s">
        <v>18</v>
      </c>
      <c r="G15" t="s">
        <v>21</v>
      </c>
    </row>
    <row r="16" spans="3:7" x14ac:dyDescent="0.35">
      <c r="C16" s="3" t="s">
        <v>92</v>
      </c>
      <c r="D16" t="s">
        <v>91</v>
      </c>
      <c r="F16" s="3" t="s">
        <v>92</v>
      </c>
      <c r="G16" t="s">
        <v>91</v>
      </c>
    </row>
    <row r="18" spans="3:7" x14ac:dyDescent="0.35">
      <c r="C18" s="3" t="s">
        <v>86</v>
      </c>
      <c r="D18" t="s">
        <v>88</v>
      </c>
      <c r="F18" s="3" t="s">
        <v>86</v>
      </c>
      <c r="G18" t="s">
        <v>88</v>
      </c>
    </row>
    <row r="19" spans="3:7" x14ac:dyDescent="0.35">
      <c r="C19" s="4" t="s">
        <v>22</v>
      </c>
      <c r="D19">
        <v>110872</v>
      </c>
      <c r="F19" s="4" t="s">
        <v>35</v>
      </c>
      <c r="G19">
        <v>1052</v>
      </c>
    </row>
    <row r="20" spans="3:7" x14ac:dyDescent="0.35">
      <c r="C20" s="4" t="s">
        <v>40</v>
      </c>
      <c r="D20">
        <v>55742</v>
      </c>
      <c r="F20" s="4" t="s">
        <v>47</v>
      </c>
      <c r="G20">
        <v>1128</v>
      </c>
    </row>
    <row r="21" spans="3:7" x14ac:dyDescent="0.35">
      <c r="C21" s="4" t="s">
        <v>42</v>
      </c>
      <c r="D21">
        <v>40072</v>
      </c>
      <c r="F21" s="4" t="s">
        <v>41</v>
      </c>
      <c r="G21">
        <v>1582</v>
      </c>
    </row>
    <row r="22" spans="3:7" x14ac:dyDescent="0.35">
      <c r="C22" s="4" t="s">
        <v>87</v>
      </c>
      <c r="D22">
        <v>206686</v>
      </c>
      <c r="F22" s="4" t="s">
        <v>87</v>
      </c>
      <c r="G22">
        <v>3762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8A074-649C-4A07-B3D6-59A698A2CA2B}">
  <dimension ref="D8:N14"/>
  <sheetViews>
    <sheetView workbookViewId="0">
      <selection activeCell="C22" sqref="C22"/>
    </sheetView>
  </sheetViews>
  <sheetFormatPr defaultRowHeight="14.5" x14ac:dyDescent="0.35"/>
  <cols>
    <col min="5" max="5" width="11.6328125" bestFit="1" customWidth="1"/>
    <col min="6" max="6" width="8.36328125" customWidth="1"/>
    <col min="7" max="7" width="9.6328125" bestFit="1" customWidth="1"/>
    <col min="8" max="8" width="14.81640625" bestFit="1" customWidth="1"/>
    <col min="11" max="11" width="10.36328125" bestFit="1" customWidth="1"/>
    <col min="13" max="13" width="9.6328125" bestFit="1" customWidth="1"/>
    <col min="14" max="14" width="14.81640625" bestFit="1" customWidth="1"/>
  </cols>
  <sheetData>
    <row r="8" spans="4:14" x14ac:dyDescent="0.35">
      <c r="D8" s="25" t="s">
        <v>107</v>
      </c>
      <c r="E8" s="25"/>
      <c r="F8" s="25"/>
      <c r="G8" s="25"/>
      <c r="H8" s="25"/>
      <c r="J8" s="25" t="s">
        <v>108</v>
      </c>
      <c r="K8" s="25"/>
      <c r="L8" s="25"/>
      <c r="M8" s="25"/>
      <c r="N8" s="25"/>
    </row>
    <row r="9" spans="4:14" x14ac:dyDescent="0.35">
      <c r="D9" s="5" t="s">
        <v>93</v>
      </c>
      <c r="E9" s="5" t="s">
        <v>103</v>
      </c>
      <c r="F9" s="5" t="s">
        <v>106</v>
      </c>
      <c r="G9" s="5" t="s">
        <v>104</v>
      </c>
      <c r="H9" s="5" t="s">
        <v>105</v>
      </c>
      <c r="J9" s="5" t="s">
        <v>93</v>
      </c>
      <c r="K9" s="5" t="s">
        <v>103</v>
      </c>
      <c r="L9" s="5" t="s">
        <v>106</v>
      </c>
      <c r="M9" s="5" t="s">
        <v>104</v>
      </c>
      <c r="N9" s="5" t="s">
        <v>105</v>
      </c>
    </row>
    <row r="10" spans="4:14" x14ac:dyDescent="0.35">
      <c r="D10" s="5">
        <v>1</v>
      </c>
      <c r="E10" s="5" t="str">
        <f>'Q2.Waste'!H5</f>
        <v>Ladakh</v>
      </c>
      <c r="F10" s="5">
        <f>'Q2.Waste'!I5</f>
        <v>14</v>
      </c>
      <c r="G10" s="5">
        <f>'Q2.Waste'!J5</f>
        <v>52</v>
      </c>
      <c r="H10" s="7">
        <f>'Q2.Waste'!K5</f>
        <v>0.269230769230769</v>
      </c>
      <c r="J10" s="5">
        <v>1</v>
      </c>
      <c r="K10" s="5" t="str">
        <f>'Q2.Waste'!H46</f>
        <v>Kerala</v>
      </c>
      <c r="L10" s="5">
        <f>'Q2.Waste'!I46</f>
        <v>2294</v>
      </c>
      <c r="M10" s="5">
        <f>'Q2.Waste'!J46</f>
        <v>26306</v>
      </c>
      <c r="N10" s="7">
        <f>'Q2.Waste'!K46</f>
        <v>8.7204440051699236E-2</v>
      </c>
    </row>
    <row r="11" spans="4:14" x14ac:dyDescent="0.35">
      <c r="D11" s="5">
        <v>2</v>
      </c>
      <c r="E11" s="5" t="str">
        <f>'Q2.Waste'!H6</f>
        <v>Goa</v>
      </c>
      <c r="F11" s="5">
        <f>'Q2.Waste'!I6</f>
        <v>3567</v>
      </c>
      <c r="G11" s="5">
        <f>'Q2.Waste'!J6</f>
        <v>14856</v>
      </c>
      <c r="H11" s="7">
        <f>'Q2.Waste'!K6</f>
        <v>0.24010500807754401</v>
      </c>
      <c r="J11" s="5">
        <v>2</v>
      </c>
      <c r="K11" s="5" t="str">
        <f>'Q2.Waste'!H47</f>
        <v>Chandigarh</v>
      </c>
      <c r="L11" s="5">
        <f>'Q2.Waste'!I47</f>
        <v>304</v>
      </c>
      <c r="M11" s="5">
        <f>'Q2.Waste'!J47</f>
        <v>4239</v>
      </c>
      <c r="N11" s="7">
        <f>'Q2.Waste'!K47</f>
        <v>7.1715027129039863E-2</v>
      </c>
    </row>
    <row r="12" spans="4:14" x14ac:dyDescent="0.35">
      <c r="D12" s="5">
        <v>3</v>
      </c>
      <c r="E12" s="5" t="str">
        <f>'Q2.Waste'!H7</f>
        <v>Kerala</v>
      </c>
      <c r="F12" s="5">
        <f>'Q2.Waste'!I7</f>
        <v>20239</v>
      </c>
      <c r="G12" s="5">
        <f>'Q2.Waste'!J7</f>
        <v>123774</v>
      </c>
      <c r="H12" s="7">
        <f>'Q2.Waste'!K7</f>
        <v>0.16351576259957665</v>
      </c>
      <c r="J12" s="5">
        <v>3</v>
      </c>
      <c r="K12" s="5" t="str">
        <f>'Q2.Waste'!H48</f>
        <v>Goa</v>
      </c>
      <c r="L12" s="5">
        <f>'Q2.Waste'!I48</f>
        <v>308</v>
      </c>
      <c r="M12" s="5">
        <f>'Q2.Waste'!J48</f>
        <v>5833</v>
      </c>
      <c r="N12" s="7">
        <f>'Q2.Waste'!K48</f>
        <v>5.2803017315275161E-2</v>
      </c>
    </row>
    <row r="13" spans="4:14" x14ac:dyDescent="0.35">
      <c r="D13" s="5">
        <v>4</v>
      </c>
      <c r="E13" s="5" t="str">
        <f>'Q2.Waste'!H8</f>
        <v>Karnataka</v>
      </c>
      <c r="F13" s="5">
        <f>'Q2.Waste'!I8</f>
        <v>47762</v>
      </c>
      <c r="G13" s="5">
        <f>'Q2.Waste'!J8</f>
        <v>348572</v>
      </c>
      <c r="H13" s="7">
        <f>'Q2.Waste'!K8</f>
        <v>0.13702190652146473</v>
      </c>
      <c r="J13" s="5">
        <v>4</v>
      </c>
      <c r="K13" s="5" t="str">
        <f>'Q2.Waste'!H49</f>
        <v>Delhi</v>
      </c>
      <c r="L13" s="5">
        <f>'Q2.Waste'!I49</f>
        <v>2838</v>
      </c>
      <c r="M13" s="5">
        <f>'Q2.Waste'!J49</f>
        <v>55323</v>
      </c>
      <c r="N13" s="7">
        <f>'Q2.Waste'!K49</f>
        <v>5.1298736511035191E-2</v>
      </c>
    </row>
    <row r="14" spans="4:14" x14ac:dyDescent="0.35">
      <c r="D14" s="5">
        <v>5</v>
      </c>
      <c r="E14" s="5" t="str">
        <f>'Q2.Waste'!H9</f>
        <v>Maharashtra</v>
      </c>
      <c r="F14" s="5">
        <f>'Q2.Waste'!I9</f>
        <v>58228</v>
      </c>
      <c r="G14" s="5">
        <f>'Q2.Waste'!J9</f>
        <v>473042</v>
      </c>
      <c r="H14" s="7">
        <f>'Q2.Waste'!K9</f>
        <v>0.12309266407633994</v>
      </c>
      <c r="J14" s="5">
        <v>5</v>
      </c>
      <c r="K14" s="5" t="str">
        <f>'Q2.Waste'!H50</f>
        <v>Karnataka</v>
      </c>
      <c r="L14" s="5">
        <f>'Q2.Waste'!I50</f>
        <v>3485</v>
      </c>
      <c r="M14" s="5">
        <f>'Q2.Waste'!J50</f>
        <v>82333</v>
      </c>
      <c r="N14" s="7">
        <f>'Q2.Waste'!K50</f>
        <v>4.232810659152466E-2</v>
      </c>
    </row>
  </sheetData>
  <mergeCells count="2">
    <mergeCell ref="D8:H8"/>
    <mergeCell ref="J8:N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4C630-B8A5-4055-9001-55EE7DB98067}">
  <dimension ref="A1:K81"/>
  <sheetViews>
    <sheetView topLeftCell="A42" workbookViewId="0">
      <selection activeCell="G46" sqref="G46"/>
    </sheetView>
  </sheetViews>
  <sheetFormatPr defaultRowHeight="14.5" x14ac:dyDescent="0.35"/>
  <cols>
    <col min="1" max="1" width="23.36328125" bestFit="1" customWidth="1"/>
    <col min="2" max="2" width="25.453125" bestFit="1" customWidth="1"/>
    <col min="3" max="3" width="23.36328125" bestFit="1" customWidth="1"/>
    <col min="8" max="8" width="23.36328125" bestFit="1" customWidth="1"/>
  </cols>
  <sheetData>
    <row r="1" spans="1:11" x14ac:dyDescent="0.35">
      <c r="A1" s="3" t="s">
        <v>18</v>
      </c>
      <c r="B1" t="s">
        <v>21</v>
      </c>
    </row>
    <row r="2" spans="1:11" x14ac:dyDescent="0.35">
      <c r="A2" s="3" t="s">
        <v>92</v>
      </c>
      <c r="B2" t="s">
        <v>91</v>
      </c>
      <c r="C2" t="s">
        <v>115</v>
      </c>
      <c r="D2" t="s">
        <v>115</v>
      </c>
      <c r="E2" t="s">
        <v>115</v>
      </c>
    </row>
    <row r="4" spans="1:11" x14ac:dyDescent="0.35">
      <c r="A4" s="3" t="s">
        <v>86</v>
      </c>
      <c r="B4" t="s">
        <v>88</v>
      </c>
      <c r="C4" t="s">
        <v>102</v>
      </c>
      <c r="D4" s="6"/>
      <c r="E4" s="6"/>
      <c r="K4" s="6"/>
    </row>
    <row r="5" spans="1:11" x14ac:dyDescent="0.35">
      <c r="A5" s="4" t="s">
        <v>81</v>
      </c>
      <c r="B5">
        <v>58228</v>
      </c>
      <c r="C5">
        <v>473042</v>
      </c>
      <c r="D5" s="6">
        <f>B5/C5</f>
        <v>0.12309266407633994</v>
      </c>
      <c r="H5" t="s">
        <v>58</v>
      </c>
      <c r="I5">
        <v>14</v>
      </c>
      <c r="J5">
        <v>52</v>
      </c>
      <c r="K5" s="6">
        <v>0.269230769230769</v>
      </c>
    </row>
    <row r="6" spans="1:11" x14ac:dyDescent="0.35">
      <c r="A6" s="4" t="s">
        <v>79</v>
      </c>
      <c r="B6">
        <v>47762</v>
      </c>
      <c r="C6">
        <v>348572</v>
      </c>
      <c r="D6" s="6">
        <f t="shared" ref="D6:D39" si="0">B6/C6</f>
        <v>0.13702190652146473</v>
      </c>
      <c r="H6" t="s">
        <v>77</v>
      </c>
      <c r="I6">
        <v>3567</v>
      </c>
      <c r="J6">
        <v>14856</v>
      </c>
      <c r="K6" s="6">
        <v>0.24010500807754401</v>
      </c>
    </row>
    <row r="7" spans="1:11" x14ac:dyDescent="0.35">
      <c r="A7" s="4" t="s">
        <v>83</v>
      </c>
      <c r="B7">
        <v>29577</v>
      </c>
      <c r="C7">
        <v>421462</v>
      </c>
      <c r="D7" s="6">
        <f t="shared" si="0"/>
        <v>7.0177145270510749E-2</v>
      </c>
      <c r="H7" t="s">
        <v>80</v>
      </c>
      <c r="I7">
        <v>20239</v>
      </c>
      <c r="J7">
        <v>123774</v>
      </c>
      <c r="K7" s="6">
        <v>0.16351576259957665</v>
      </c>
    </row>
    <row r="8" spans="1:11" x14ac:dyDescent="0.35">
      <c r="A8" s="4" t="s">
        <v>80</v>
      </c>
      <c r="B8">
        <v>20239</v>
      </c>
      <c r="C8">
        <v>123774</v>
      </c>
      <c r="D8" s="6">
        <f t="shared" si="0"/>
        <v>0.16351576259957665</v>
      </c>
      <c r="H8" t="s">
        <v>79</v>
      </c>
      <c r="I8">
        <v>47762</v>
      </c>
      <c r="J8">
        <v>348572</v>
      </c>
      <c r="K8" s="6">
        <v>0.13702190652146473</v>
      </c>
    </row>
    <row r="9" spans="1:11" x14ac:dyDescent="0.35">
      <c r="A9" s="4" t="s">
        <v>84</v>
      </c>
      <c r="B9">
        <v>20024</v>
      </c>
      <c r="C9">
        <v>598729</v>
      </c>
      <c r="D9" s="6">
        <f t="shared" si="0"/>
        <v>3.344417925305105E-2</v>
      </c>
      <c r="H9" t="s">
        <v>81</v>
      </c>
      <c r="I9">
        <v>58228</v>
      </c>
      <c r="J9">
        <v>473042</v>
      </c>
      <c r="K9" s="6">
        <v>0.12309266407633994</v>
      </c>
    </row>
    <row r="10" spans="1:11" x14ac:dyDescent="0.35">
      <c r="A10" s="4" t="s">
        <v>78</v>
      </c>
      <c r="B10">
        <v>19023</v>
      </c>
      <c r="C10">
        <v>275196</v>
      </c>
      <c r="D10" s="6">
        <f t="shared" si="0"/>
        <v>6.9125277983691627E-2</v>
      </c>
      <c r="H10" t="s">
        <v>66</v>
      </c>
      <c r="I10">
        <v>459</v>
      </c>
      <c r="J10">
        <v>4391</v>
      </c>
      <c r="K10" s="6">
        <v>0.10453199726713733</v>
      </c>
    </row>
    <row r="11" spans="1:11" x14ac:dyDescent="0.35">
      <c r="A11" s="4" t="s">
        <v>82</v>
      </c>
      <c r="B11">
        <v>17510</v>
      </c>
      <c r="C11">
        <v>249552</v>
      </c>
      <c r="D11" s="6">
        <f t="shared" si="0"/>
        <v>7.0165737000705261E-2</v>
      </c>
      <c r="H11" t="s">
        <v>67</v>
      </c>
      <c r="I11">
        <v>10439</v>
      </c>
      <c r="J11">
        <v>100516</v>
      </c>
      <c r="K11" s="6">
        <v>0.10385411277806518</v>
      </c>
    </row>
    <row r="12" spans="1:11" x14ac:dyDescent="0.35">
      <c r="A12" s="4" t="s">
        <v>68</v>
      </c>
      <c r="B12">
        <v>13462</v>
      </c>
      <c r="C12">
        <v>275164</v>
      </c>
      <c r="D12" s="6">
        <f t="shared" si="0"/>
        <v>4.8923551045921707E-2</v>
      </c>
      <c r="H12" t="s">
        <v>63</v>
      </c>
      <c r="I12">
        <v>1171</v>
      </c>
      <c r="J12">
        <v>14034</v>
      </c>
      <c r="K12" s="6">
        <v>8.3440216616787799E-2</v>
      </c>
    </row>
    <row r="13" spans="1:11" x14ac:dyDescent="0.35">
      <c r="A13" s="4" t="s">
        <v>76</v>
      </c>
      <c r="B13">
        <v>12021</v>
      </c>
      <c r="C13">
        <v>179338</v>
      </c>
      <c r="D13" s="6">
        <f t="shared" si="0"/>
        <v>6.7029854241711179E-2</v>
      </c>
      <c r="H13" t="s">
        <v>83</v>
      </c>
      <c r="I13">
        <v>29577</v>
      </c>
      <c r="J13">
        <v>421462</v>
      </c>
      <c r="K13" s="6">
        <v>7.0177145270510749E-2</v>
      </c>
    </row>
    <row r="14" spans="1:11" x14ac:dyDescent="0.35">
      <c r="A14" s="4" t="s">
        <v>67</v>
      </c>
      <c r="B14">
        <v>10439</v>
      </c>
      <c r="C14">
        <v>100516</v>
      </c>
      <c r="D14" s="6">
        <f t="shared" si="0"/>
        <v>0.10385411277806518</v>
      </c>
      <c r="H14" t="s">
        <v>82</v>
      </c>
      <c r="I14">
        <v>17510</v>
      </c>
      <c r="J14">
        <v>249552</v>
      </c>
      <c r="K14" s="6">
        <v>7.0165737000705261E-2</v>
      </c>
    </row>
    <row r="15" spans="1:11" x14ac:dyDescent="0.35">
      <c r="A15" s="4" t="s">
        <v>55</v>
      </c>
      <c r="B15">
        <v>8175</v>
      </c>
      <c r="C15">
        <v>129037</v>
      </c>
      <c r="D15" s="6">
        <f t="shared" si="0"/>
        <v>6.3353921743375938E-2</v>
      </c>
      <c r="H15" t="s">
        <v>78</v>
      </c>
      <c r="I15">
        <v>19023</v>
      </c>
      <c r="J15">
        <v>275196</v>
      </c>
      <c r="K15" s="6">
        <v>6.9125277983691627E-2</v>
      </c>
    </row>
    <row r="16" spans="1:11" x14ac:dyDescent="0.35">
      <c r="A16" s="4" t="s">
        <v>69</v>
      </c>
      <c r="B16">
        <v>7616</v>
      </c>
      <c r="C16">
        <v>110740</v>
      </c>
      <c r="D16" s="6">
        <f t="shared" si="0"/>
        <v>6.8773704171934263E-2</v>
      </c>
      <c r="H16" t="s">
        <v>69</v>
      </c>
      <c r="I16">
        <v>7616</v>
      </c>
      <c r="J16">
        <v>110740</v>
      </c>
      <c r="K16" s="6">
        <v>6.8773704171934263E-2</v>
      </c>
    </row>
    <row r="17" spans="1:11" x14ac:dyDescent="0.35">
      <c r="A17" s="4" t="s">
        <v>65</v>
      </c>
      <c r="B17">
        <v>5173</v>
      </c>
      <c r="C17">
        <v>257903</v>
      </c>
      <c r="D17" s="6">
        <f t="shared" si="0"/>
        <v>2.0057928756160262E-2</v>
      </c>
      <c r="H17" t="s">
        <v>76</v>
      </c>
      <c r="I17">
        <v>12021</v>
      </c>
      <c r="J17">
        <v>179338</v>
      </c>
      <c r="K17" s="6">
        <v>6.7029854241711179E-2</v>
      </c>
    </row>
    <row r="18" spans="1:11" x14ac:dyDescent="0.35">
      <c r="A18" s="4" t="s">
        <v>85</v>
      </c>
      <c r="B18">
        <v>5136</v>
      </c>
      <c r="C18">
        <v>216350</v>
      </c>
      <c r="D18" s="6">
        <f t="shared" si="0"/>
        <v>2.3739311301132424E-2</v>
      </c>
      <c r="H18" t="s">
        <v>55</v>
      </c>
      <c r="I18">
        <v>8175</v>
      </c>
      <c r="J18">
        <v>129037</v>
      </c>
      <c r="K18" s="6">
        <v>6.3353921743375938E-2</v>
      </c>
    </row>
    <row r="19" spans="1:11" x14ac:dyDescent="0.35">
      <c r="A19" s="4" t="s">
        <v>74</v>
      </c>
      <c r="B19">
        <v>3721</v>
      </c>
      <c r="C19">
        <v>122723</v>
      </c>
      <c r="D19" s="6">
        <f t="shared" si="0"/>
        <v>3.0320314855406077E-2</v>
      </c>
      <c r="H19" t="s">
        <v>68</v>
      </c>
      <c r="I19">
        <v>13462</v>
      </c>
      <c r="J19">
        <v>275164</v>
      </c>
      <c r="K19" s="6">
        <v>4.8923551045921707E-2</v>
      </c>
    </row>
    <row r="20" spans="1:11" x14ac:dyDescent="0.35">
      <c r="A20" s="4" t="s">
        <v>77</v>
      </c>
      <c r="B20">
        <v>3567</v>
      </c>
      <c r="C20">
        <v>14856</v>
      </c>
      <c r="D20" s="6">
        <f t="shared" si="0"/>
        <v>0.24010500807754442</v>
      </c>
      <c r="H20" t="s">
        <v>57</v>
      </c>
      <c r="I20">
        <v>749</v>
      </c>
      <c r="J20">
        <v>16237</v>
      </c>
      <c r="K20" s="6">
        <v>4.6129211061156618E-2</v>
      </c>
    </row>
    <row r="21" spans="1:11" x14ac:dyDescent="0.35">
      <c r="A21" s="4" t="s">
        <v>70</v>
      </c>
      <c r="B21">
        <v>3352</v>
      </c>
      <c r="C21">
        <v>103747</v>
      </c>
      <c r="D21" s="6">
        <f t="shared" si="0"/>
        <v>3.2309367981724769E-2</v>
      </c>
      <c r="H21" t="s">
        <v>71</v>
      </c>
      <c r="I21">
        <v>1547</v>
      </c>
      <c r="J21">
        <v>37880</v>
      </c>
      <c r="K21" s="6">
        <v>4.0839493136219644E-2</v>
      </c>
    </row>
    <row r="22" spans="1:11" x14ac:dyDescent="0.35">
      <c r="A22" s="4" t="s">
        <v>75</v>
      </c>
      <c r="B22">
        <v>2085</v>
      </c>
      <c r="C22">
        <v>103228</v>
      </c>
      <c r="D22" s="6">
        <f t="shared" si="0"/>
        <v>2.0198008292323787E-2</v>
      </c>
      <c r="H22" t="s">
        <v>84</v>
      </c>
      <c r="I22">
        <v>20024</v>
      </c>
      <c r="J22">
        <v>598729</v>
      </c>
      <c r="K22" s="6">
        <v>3.344417925305105E-2</v>
      </c>
    </row>
    <row r="23" spans="1:11" x14ac:dyDescent="0.35">
      <c r="A23" s="4" t="s">
        <v>71</v>
      </c>
      <c r="B23">
        <v>1547</v>
      </c>
      <c r="C23">
        <v>37880</v>
      </c>
      <c r="D23" s="6">
        <f t="shared" si="0"/>
        <v>4.0839493136219644E-2</v>
      </c>
      <c r="H23" t="s">
        <v>70</v>
      </c>
      <c r="I23">
        <v>3352</v>
      </c>
      <c r="J23">
        <v>103747</v>
      </c>
      <c r="K23" s="6">
        <v>3.2309367981724769E-2</v>
      </c>
    </row>
    <row r="24" spans="1:11" x14ac:dyDescent="0.35">
      <c r="A24" s="4" t="s">
        <v>54</v>
      </c>
      <c r="B24">
        <v>1266</v>
      </c>
      <c r="C24">
        <v>126046</v>
      </c>
      <c r="D24" s="6">
        <f t="shared" si="0"/>
        <v>1.0043952207924091E-2</v>
      </c>
      <c r="H24" t="s">
        <v>74</v>
      </c>
      <c r="I24">
        <v>3721</v>
      </c>
      <c r="J24">
        <v>122723</v>
      </c>
      <c r="K24" s="6">
        <v>3.0320314855406077E-2</v>
      </c>
    </row>
    <row r="25" spans="1:11" x14ac:dyDescent="0.35">
      <c r="A25" s="4" t="s">
        <v>63</v>
      </c>
      <c r="B25">
        <v>1171</v>
      </c>
      <c r="C25">
        <v>14034</v>
      </c>
      <c r="D25" s="6">
        <f t="shared" si="0"/>
        <v>8.3440216616787799E-2</v>
      </c>
      <c r="H25" t="s">
        <v>56</v>
      </c>
      <c r="I25">
        <v>80</v>
      </c>
      <c r="J25">
        <v>2698</v>
      </c>
      <c r="K25" s="6">
        <v>2.9651593773165306E-2</v>
      </c>
    </row>
    <row r="26" spans="1:11" x14ac:dyDescent="0.35">
      <c r="A26" s="4" t="s">
        <v>57</v>
      </c>
      <c r="B26">
        <v>749</v>
      </c>
      <c r="C26">
        <v>16237</v>
      </c>
      <c r="D26" s="6">
        <f t="shared" si="0"/>
        <v>4.6129211061156618E-2</v>
      </c>
      <c r="H26" t="s">
        <v>85</v>
      </c>
      <c r="I26">
        <v>5136</v>
      </c>
      <c r="J26">
        <v>216350</v>
      </c>
      <c r="K26" s="6">
        <v>2.3739311301132424E-2</v>
      </c>
    </row>
    <row r="27" spans="1:11" x14ac:dyDescent="0.35">
      <c r="A27" s="4" t="s">
        <v>66</v>
      </c>
      <c r="B27">
        <v>459</v>
      </c>
      <c r="C27">
        <v>4391</v>
      </c>
      <c r="D27" s="6">
        <f t="shared" si="0"/>
        <v>0.10453199726713733</v>
      </c>
      <c r="H27" t="s">
        <v>61</v>
      </c>
      <c r="I27">
        <v>137</v>
      </c>
      <c r="J27">
        <v>5950</v>
      </c>
      <c r="K27" s="6">
        <v>2.3025210084033614E-2</v>
      </c>
    </row>
    <row r="28" spans="1:11" x14ac:dyDescent="0.35">
      <c r="A28" s="4" t="s">
        <v>72</v>
      </c>
      <c r="B28">
        <v>235</v>
      </c>
      <c r="C28">
        <v>15694</v>
      </c>
      <c r="D28" s="6">
        <f t="shared" si="0"/>
        <v>1.4973875366382056E-2</v>
      </c>
      <c r="H28" t="s">
        <v>75</v>
      </c>
      <c r="I28">
        <v>2085</v>
      </c>
      <c r="J28">
        <v>103228</v>
      </c>
      <c r="K28" s="6">
        <v>2.0198008292323787E-2</v>
      </c>
    </row>
    <row r="29" spans="1:11" x14ac:dyDescent="0.35">
      <c r="A29" s="4" t="s">
        <v>61</v>
      </c>
      <c r="B29">
        <v>137</v>
      </c>
      <c r="C29">
        <v>5950</v>
      </c>
      <c r="D29" s="6">
        <f t="shared" si="0"/>
        <v>2.3025210084033614E-2</v>
      </c>
      <c r="H29" t="s">
        <v>65</v>
      </c>
      <c r="I29">
        <v>5173</v>
      </c>
      <c r="J29">
        <v>257903</v>
      </c>
      <c r="K29" s="6">
        <v>2.0057928756160262E-2</v>
      </c>
    </row>
    <row r="30" spans="1:11" x14ac:dyDescent="0.35">
      <c r="A30" s="4" t="s">
        <v>56</v>
      </c>
      <c r="B30">
        <v>80</v>
      </c>
      <c r="C30">
        <v>2698</v>
      </c>
      <c r="D30" s="6">
        <f t="shared" si="0"/>
        <v>2.9651593773165306E-2</v>
      </c>
      <c r="H30" t="s">
        <v>72</v>
      </c>
      <c r="I30">
        <v>235</v>
      </c>
      <c r="J30">
        <v>15694</v>
      </c>
      <c r="K30" s="6">
        <v>1.4973875366382056E-2</v>
      </c>
    </row>
    <row r="31" spans="1:11" x14ac:dyDescent="0.35">
      <c r="A31" s="4" t="s">
        <v>64</v>
      </c>
      <c r="B31">
        <v>68</v>
      </c>
      <c r="C31">
        <v>10062</v>
      </c>
      <c r="D31" s="6">
        <f t="shared" si="0"/>
        <v>6.7580997813555957E-3</v>
      </c>
      <c r="H31" t="s">
        <v>54</v>
      </c>
      <c r="I31">
        <v>1266</v>
      </c>
      <c r="J31">
        <v>126046</v>
      </c>
      <c r="K31" s="6">
        <v>1.0043952207924091E-2</v>
      </c>
    </row>
    <row r="32" spans="1:11" x14ac:dyDescent="0.35">
      <c r="A32" s="4" t="s">
        <v>60</v>
      </c>
      <c r="B32">
        <v>41</v>
      </c>
      <c r="C32">
        <v>5738</v>
      </c>
      <c r="D32" s="6">
        <f t="shared" si="0"/>
        <v>7.1453468107354479E-3</v>
      </c>
      <c r="H32" t="s">
        <v>52</v>
      </c>
      <c r="I32">
        <v>7</v>
      </c>
      <c r="J32">
        <v>920</v>
      </c>
      <c r="K32" s="6">
        <v>7.6086956521739134E-3</v>
      </c>
    </row>
    <row r="33" spans="1:11" x14ac:dyDescent="0.35">
      <c r="A33" s="4" t="s">
        <v>59</v>
      </c>
      <c r="B33">
        <v>23</v>
      </c>
      <c r="C33">
        <v>4673</v>
      </c>
      <c r="D33" s="6">
        <f t="shared" si="0"/>
        <v>4.9218917183821952E-3</v>
      </c>
      <c r="H33" t="s">
        <v>60</v>
      </c>
      <c r="I33">
        <v>41</v>
      </c>
      <c r="J33">
        <v>5738</v>
      </c>
      <c r="K33" s="6">
        <v>7.1453468107354479E-3</v>
      </c>
    </row>
    <row r="34" spans="1:11" x14ac:dyDescent="0.35">
      <c r="A34" s="4" t="s">
        <v>58</v>
      </c>
      <c r="B34">
        <v>14</v>
      </c>
      <c r="C34">
        <v>52</v>
      </c>
      <c r="D34" s="6">
        <f t="shared" si="0"/>
        <v>0.26923076923076922</v>
      </c>
      <c r="H34" t="s">
        <v>64</v>
      </c>
      <c r="I34">
        <v>68</v>
      </c>
      <c r="J34">
        <v>10062</v>
      </c>
      <c r="K34" s="6">
        <v>6.7580997813555957E-3</v>
      </c>
    </row>
    <row r="35" spans="1:11" x14ac:dyDescent="0.35">
      <c r="A35" s="4" t="s">
        <v>52</v>
      </c>
      <c r="B35">
        <v>7</v>
      </c>
      <c r="C35">
        <v>920</v>
      </c>
      <c r="D35" s="6">
        <f t="shared" si="0"/>
        <v>7.6086956521739134E-3</v>
      </c>
      <c r="H35" t="s">
        <v>59</v>
      </c>
      <c r="I35">
        <v>23</v>
      </c>
      <c r="J35">
        <v>4673</v>
      </c>
      <c r="K35" s="6">
        <v>4.9218917183821952E-3</v>
      </c>
    </row>
    <row r="36" spans="1:11" x14ac:dyDescent="0.35">
      <c r="A36" s="4" t="s">
        <v>62</v>
      </c>
      <c r="B36">
        <v>2</v>
      </c>
      <c r="C36">
        <v>2448</v>
      </c>
      <c r="D36" s="6">
        <f t="shared" si="0"/>
        <v>8.1699346405228761E-4</v>
      </c>
      <c r="H36" t="s">
        <v>73</v>
      </c>
      <c r="I36">
        <v>2</v>
      </c>
      <c r="J36">
        <v>483</v>
      </c>
      <c r="K36" s="6">
        <v>4.140786749482402E-3</v>
      </c>
    </row>
    <row r="37" spans="1:11" x14ac:dyDescent="0.35">
      <c r="A37" s="4" t="s">
        <v>73</v>
      </c>
      <c r="B37">
        <v>2</v>
      </c>
      <c r="C37">
        <v>483</v>
      </c>
      <c r="D37" s="6">
        <f t="shared" si="0"/>
        <v>4.140786749482402E-3</v>
      </c>
      <c r="H37" t="s">
        <v>62</v>
      </c>
      <c r="I37">
        <v>2</v>
      </c>
      <c r="J37">
        <v>2448</v>
      </c>
      <c r="K37" s="6">
        <v>8.1699346405228761E-4</v>
      </c>
    </row>
    <row r="38" spans="1:11" x14ac:dyDescent="0.35">
      <c r="A38" s="4" t="s">
        <v>51</v>
      </c>
      <c r="B38">
        <v>0</v>
      </c>
      <c r="C38">
        <v>1316</v>
      </c>
      <c r="D38" s="6">
        <f t="shared" si="0"/>
        <v>0</v>
      </c>
      <c r="H38" t="s">
        <v>51</v>
      </c>
      <c r="I38">
        <v>0</v>
      </c>
      <c r="J38">
        <v>1316</v>
      </c>
      <c r="K38" s="6">
        <v>0</v>
      </c>
    </row>
    <row r="39" spans="1:11" x14ac:dyDescent="0.35">
      <c r="A39" s="4" t="s">
        <v>53</v>
      </c>
      <c r="B39">
        <v>0</v>
      </c>
      <c r="C39">
        <v>3371</v>
      </c>
      <c r="D39" s="6">
        <f t="shared" si="0"/>
        <v>0</v>
      </c>
      <c r="H39" t="s">
        <v>53</v>
      </c>
      <c r="I39">
        <v>0</v>
      </c>
      <c r="J39">
        <v>3371</v>
      </c>
      <c r="K39" s="6">
        <v>0</v>
      </c>
    </row>
    <row r="40" spans="1:11" x14ac:dyDescent="0.35">
      <c r="A40" s="4" t="s">
        <v>87</v>
      </c>
      <c r="B40">
        <v>292911</v>
      </c>
      <c r="C40">
        <v>4355922</v>
      </c>
    </row>
    <row r="42" spans="1:11" x14ac:dyDescent="0.35">
      <c r="A42" s="3" t="s">
        <v>92</v>
      </c>
      <c r="B42" t="s">
        <v>91</v>
      </c>
    </row>
    <row r="43" spans="1:11" x14ac:dyDescent="0.35">
      <c r="A43" s="3" t="s">
        <v>18</v>
      </c>
      <c r="B43" t="s">
        <v>24</v>
      </c>
    </row>
    <row r="45" spans="1:11" x14ac:dyDescent="0.35">
      <c r="A45" s="3" t="s">
        <v>86</v>
      </c>
      <c r="B45" t="s">
        <v>88</v>
      </c>
      <c r="C45" t="s">
        <v>102</v>
      </c>
    </row>
    <row r="46" spans="1:11" x14ac:dyDescent="0.35">
      <c r="A46" s="4" t="s">
        <v>73</v>
      </c>
      <c r="B46">
        <v>0</v>
      </c>
      <c r="C46">
        <v>177</v>
      </c>
      <c r="D46" s="6">
        <f>B46/C46</f>
        <v>0</v>
      </c>
      <c r="H46" t="s">
        <v>80</v>
      </c>
      <c r="I46">
        <v>2294</v>
      </c>
      <c r="J46">
        <v>26306</v>
      </c>
      <c r="K46" s="6">
        <v>8.7204440051699236E-2</v>
      </c>
    </row>
    <row r="47" spans="1:11" x14ac:dyDescent="0.35">
      <c r="A47" s="4" t="s">
        <v>52</v>
      </c>
      <c r="B47">
        <v>2</v>
      </c>
      <c r="C47">
        <v>339</v>
      </c>
      <c r="D47" s="6">
        <f t="shared" ref="D47:D80" si="1">B47/C47</f>
        <v>5.8997050147492625E-3</v>
      </c>
      <c r="H47" t="s">
        <v>66</v>
      </c>
      <c r="I47">
        <v>304</v>
      </c>
      <c r="J47">
        <v>4239</v>
      </c>
      <c r="K47" s="6">
        <v>7.1715027129039863E-2</v>
      </c>
    </row>
    <row r="48" spans="1:11" x14ac:dyDescent="0.35">
      <c r="A48" s="4" t="s">
        <v>76</v>
      </c>
      <c r="B48">
        <v>617</v>
      </c>
      <c r="C48">
        <v>22446</v>
      </c>
      <c r="D48" s="6">
        <f t="shared" si="1"/>
        <v>2.7488193887552349E-2</v>
      </c>
      <c r="H48" t="s">
        <v>77</v>
      </c>
      <c r="I48">
        <v>308</v>
      </c>
      <c r="J48">
        <v>5833</v>
      </c>
      <c r="K48" s="6">
        <v>5.2803017315275161E-2</v>
      </c>
    </row>
    <row r="49" spans="1:11" x14ac:dyDescent="0.35">
      <c r="A49" s="4" t="s">
        <v>53</v>
      </c>
      <c r="B49">
        <v>10</v>
      </c>
      <c r="C49">
        <v>3439</v>
      </c>
      <c r="D49" s="6">
        <f t="shared" si="1"/>
        <v>2.907822041291073E-3</v>
      </c>
      <c r="H49" t="s">
        <v>67</v>
      </c>
      <c r="I49">
        <v>2838</v>
      </c>
      <c r="J49">
        <v>55323</v>
      </c>
      <c r="K49" s="6">
        <v>5.1298736511035191E-2</v>
      </c>
    </row>
    <row r="50" spans="1:11" x14ac:dyDescent="0.35">
      <c r="A50" s="4" t="s">
        <v>54</v>
      </c>
      <c r="B50">
        <v>98</v>
      </c>
      <c r="C50">
        <v>21565</v>
      </c>
      <c r="D50" s="6">
        <f t="shared" si="1"/>
        <v>4.5444006492000926E-3</v>
      </c>
      <c r="H50" t="s">
        <v>79</v>
      </c>
      <c r="I50">
        <v>3485</v>
      </c>
      <c r="J50">
        <v>82333</v>
      </c>
      <c r="K50" s="6">
        <v>4.232810659152466E-2</v>
      </c>
    </row>
    <row r="51" spans="1:11" x14ac:dyDescent="0.35">
      <c r="A51" s="4" t="s">
        <v>65</v>
      </c>
      <c r="B51">
        <v>228</v>
      </c>
      <c r="C51">
        <v>20558</v>
      </c>
      <c r="D51" s="6">
        <f t="shared" si="1"/>
        <v>1.1090573012939002E-2</v>
      </c>
      <c r="H51" t="s">
        <v>85</v>
      </c>
      <c r="I51">
        <v>864</v>
      </c>
      <c r="J51">
        <v>26799</v>
      </c>
      <c r="K51" s="6">
        <v>3.2240008955558043E-2</v>
      </c>
    </row>
    <row r="52" spans="1:11" x14ac:dyDescent="0.35">
      <c r="A52" s="4" t="s">
        <v>66</v>
      </c>
      <c r="B52">
        <v>304</v>
      </c>
      <c r="C52">
        <v>4239</v>
      </c>
      <c r="D52" s="6">
        <f t="shared" si="1"/>
        <v>7.1715027129039863E-2</v>
      </c>
      <c r="H52" t="s">
        <v>81</v>
      </c>
      <c r="I52">
        <v>3595</v>
      </c>
      <c r="J52">
        <v>123284</v>
      </c>
      <c r="K52" s="6">
        <v>2.9160312773758152E-2</v>
      </c>
    </row>
    <row r="53" spans="1:11" x14ac:dyDescent="0.35">
      <c r="A53" s="4" t="s">
        <v>55</v>
      </c>
      <c r="B53">
        <v>310</v>
      </c>
      <c r="C53">
        <v>13419</v>
      </c>
      <c r="D53" s="6">
        <f t="shared" si="1"/>
        <v>2.3101572397347045E-2</v>
      </c>
      <c r="H53" t="s">
        <v>76</v>
      </c>
      <c r="I53">
        <v>617</v>
      </c>
      <c r="J53">
        <v>22446</v>
      </c>
      <c r="K53" s="6">
        <v>2.7488193887552349E-2</v>
      </c>
    </row>
    <row r="54" spans="1:11" x14ac:dyDescent="0.35">
      <c r="A54" s="4" t="s">
        <v>67</v>
      </c>
      <c r="B54">
        <v>2838</v>
      </c>
      <c r="C54">
        <v>55323</v>
      </c>
      <c r="D54" s="6">
        <f t="shared" si="1"/>
        <v>5.1298736511035191E-2</v>
      </c>
      <c r="H54" t="s">
        <v>83</v>
      </c>
      <c r="I54">
        <v>1970</v>
      </c>
      <c r="J54">
        <v>73613</v>
      </c>
      <c r="K54" s="6">
        <v>2.6761577438767607E-2</v>
      </c>
    </row>
    <row r="55" spans="1:11" x14ac:dyDescent="0.35">
      <c r="A55" s="4" t="s">
        <v>56</v>
      </c>
      <c r="B55">
        <v>12</v>
      </c>
      <c r="C55">
        <v>1400</v>
      </c>
      <c r="D55" s="6">
        <f t="shared" si="1"/>
        <v>8.5714285714285719E-3</v>
      </c>
      <c r="H55" t="s">
        <v>82</v>
      </c>
      <c r="I55">
        <v>1508</v>
      </c>
      <c r="J55">
        <v>57838</v>
      </c>
      <c r="K55" s="6">
        <v>2.6072824094885715E-2</v>
      </c>
    </row>
    <row r="56" spans="1:11" x14ac:dyDescent="0.35">
      <c r="A56" s="4" t="s">
        <v>77</v>
      </c>
      <c r="B56">
        <v>308</v>
      </c>
      <c r="C56">
        <v>5833</v>
      </c>
      <c r="D56" s="6">
        <f t="shared" si="1"/>
        <v>5.2803017315275161E-2</v>
      </c>
      <c r="H56" t="s">
        <v>69</v>
      </c>
      <c r="I56">
        <v>353</v>
      </c>
      <c r="J56">
        <v>13805</v>
      </c>
      <c r="K56" s="6">
        <v>2.5570445490764215E-2</v>
      </c>
    </row>
    <row r="57" spans="1:11" x14ac:dyDescent="0.35">
      <c r="A57" s="4" t="s">
        <v>78</v>
      </c>
      <c r="B57">
        <v>1665</v>
      </c>
      <c r="C57">
        <v>84561</v>
      </c>
      <c r="D57" s="6">
        <f t="shared" si="1"/>
        <v>1.9689927980984141E-2</v>
      </c>
      <c r="H57" t="s">
        <v>55</v>
      </c>
      <c r="I57">
        <v>310</v>
      </c>
      <c r="J57">
        <v>13419</v>
      </c>
      <c r="K57" s="6">
        <v>2.3101572397347045E-2</v>
      </c>
    </row>
    <row r="58" spans="1:11" x14ac:dyDescent="0.35">
      <c r="A58" s="4" t="s">
        <v>74</v>
      </c>
      <c r="B58">
        <v>899</v>
      </c>
      <c r="C58">
        <v>78420</v>
      </c>
      <c r="D58" s="6">
        <f t="shared" si="1"/>
        <v>1.1463912267278756E-2</v>
      </c>
      <c r="H58" t="s">
        <v>78</v>
      </c>
      <c r="I58">
        <v>1665</v>
      </c>
      <c r="J58">
        <v>84561</v>
      </c>
      <c r="K58" s="6">
        <v>1.9689927980984141E-2</v>
      </c>
    </row>
    <row r="59" spans="1:11" x14ac:dyDescent="0.35">
      <c r="A59" s="4" t="s">
        <v>72</v>
      </c>
      <c r="B59">
        <v>41</v>
      </c>
      <c r="C59">
        <v>13546</v>
      </c>
      <c r="D59" s="6">
        <f t="shared" si="1"/>
        <v>3.026723756090359E-3</v>
      </c>
      <c r="H59" t="s">
        <v>59</v>
      </c>
      <c r="I59">
        <v>16</v>
      </c>
      <c r="J59">
        <v>1113</v>
      </c>
      <c r="K59" s="6">
        <v>1.4375561545372867E-2</v>
      </c>
    </row>
    <row r="60" spans="1:11" x14ac:dyDescent="0.35">
      <c r="A60" s="4" t="s">
        <v>57</v>
      </c>
      <c r="B60">
        <v>52</v>
      </c>
      <c r="C60">
        <v>13975</v>
      </c>
      <c r="D60" s="6">
        <f t="shared" si="1"/>
        <v>3.7209302325581397E-3</v>
      </c>
      <c r="H60" t="s">
        <v>74</v>
      </c>
      <c r="I60">
        <v>899</v>
      </c>
      <c r="J60">
        <v>78420</v>
      </c>
      <c r="K60" s="6">
        <v>1.1463912267278756E-2</v>
      </c>
    </row>
    <row r="61" spans="1:11" x14ac:dyDescent="0.35">
      <c r="A61" s="4" t="s">
        <v>75</v>
      </c>
      <c r="B61">
        <v>123</v>
      </c>
      <c r="C61">
        <v>13828</v>
      </c>
      <c r="D61" s="6">
        <f t="shared" si="1"/>
        <v>8.8949956609777267E-3</v>
      </c>
      <c r="H61" t="s">
        <v>65</v>
      </c>
      <c r="I61">
        <v>228</v>
      </c>
      <c r="J61">
        <v>20558</v>
      </c>
      <c r="K61" s="6">
        <v>1.1090573012939002E-2</v>
      </c>
    </row>
    <row r="62" spans="1:11" x14ac:dyDescent="0.35">
      <c r="A62" s="4" t="s">
        <v>79</v>
      </c>
      <c r="B62">
        <v>3485</v>
      </c>
      <c r="C62">
        <v>82333</v>
      </c>
      <c r="D62" s="6">
        <f t="shared" si="1"/>
        <v>4.232810659152466E-2</v>
      </c>
      <c r="H62" t="s">
        <v>84</v>
      </c>
      <c r="I62">
        <v>1182</v>
      </c>
      <c r="J62">
        <v>115929</v>
      </c>
      <c r="K62" s="6">
        <v>1.0195895763786456E-2</v>
      </c>
    </row>
    <row r="63" spans="1:11" x14ac:dyDescent="0.35">
      <c r="A63" s="4" t="s">
        <v>80</v>
      </c>
      <c r="B63">
        <v>2294</v>
      </c>
      <c r="C63">
        <v>26306</v>
      </c>
      <c r="D63" s="6">
        <f t="shared" si="1"/>
        <v>8.7204440051699236E-2</v>
      </c>
      <c r="H63" t="s">
        <v>71</v>
      </c>
      <c r="I63">
        <v>160</v>
      </c>
      <c r="J63">
        <v>16023</v>
      </c>
      <c r="K63" s="6">
        <v>9.985645634400549E-3</v>
      </c>
    </row>
    <row r="64" spans="1:11" x14ac:dyDescent="0.35">
      <c r="A64" s="4" t="s">
        <v>58</v>
      </c>
      <c r="B64">
        <v>0</v>
      </c>
      <c r="C64">
        <v>269</v>
      </c>
      <c r="D64" s="6">
        <f t="shared" si="1"/>
        <v>0</v>
      </c>
      <c r="H64" t="s">
        <v>63</v>
      </c>
      <c r="I64">
        <v>31</v>
      </c>
      <c r="J64">
        <v>3469</v>
      </c>
      <c r="K64" s="6">
        <v>8.9362928797924474E-3</v>
      </c>
    </row>
    <row r="65" spans="1:11" x14ac:dyDescent="0.35">
      <c r="A65" s="4" t="s">
        <v>68</v>
      </c>
      <c r="B65">
        <v>461</v>
      </c>
      <c r="C65">
        <v>52094</v>
      </c>
      <c r="D65" s="6">
        <f t="shared" si="1"/>
        <v>8.8493876454102203E-3</v>
      </c>
      <c r="H65" t="s">
        <v>75</v>
      </c>
      <c r="I65">
        <v>123</v>
      </c>
      <c r="J65">
        <v>13828</v>
      </c>
      <c r="K65" s="6">
        <v>8.8949956609777267E-3</v>
      </c>
    </row>
    <row r="66" spans="1:11" x14ac:dyDescent="0.35">
      <c r="A66" s="4" t="s">
        <v>81</v>
      </c>
      <c r="B66">
        <v>3595</v>
      </c>
      <c r="C66">
        <v>123284</v>
      </c>
      <c r="D66" s="6">
        <f t="shared" si="1"/>
        <v>2.9160312773758152E-2</v>
      </c>
      <c r="H66" t="s">
        <v>68</v>
      </c>
      <c r="I66">
        <v>461</v>
      </c>
      <c r="J66">
        <v>52094</v>
      </c>
      <c r="K66" s="6">
        <v>8.8493876454102203E-3</v>
      </c>
    </row>
    <row r="67" spans="1:11" x14ac:dyDescent="0.35">
      <c r="A67" s="4" t="s">
        <v>59</v>
      </c>
      <c r="B67">
        <v>16</v>
      </c>
      <c r="C67">
        <v>1113</v>
      </c>
      <c r="D67" s="6">
        <f t="shared" si="1"/>
        <v>1.4375561545372867E-2</v>
      </c>
      <c r="H67" t="s">
        <v>56</v>
      </c>
      <c r="I67">
        <v>12</v>
      </c>
      <c r="J67">
        <v>1400</v>
      </c>
      <c r="K67" s="6">
        <v>8.5714285714285719E-3</v>
      </c>
    </row>
    <row r="68" spans="1:11" x14ac:dyDescent="0.35">
      <c r="A68" s="4" t="s">
        <v>60</v>
      </c>
      <c r="B68">
        <v>8</v>
      </c>
      <c r="C68">
        <v>3890</v>
      </c>
      <c r="D68" s="6">
        <f t="shared" si="1"/>
        <v>2.056555269922879E-3</v>
      </c>
      <c r="H68" t="s">
        <v>70</v>
      </c>
      <c r="I68">
        <v>348</v>
      </c>
      <c r="J68">
        <v>43399</v>
      </c>
      <c r="K68" s="6">
        <v>8.018617940505542E-3</v>
      </c>
    </row>
    <row r="69" spans="1:11" x14ac:dyDescent="0.35">
      <c r="A69" s="4" t="s">
        <v>61</v>
      </c>
      <c r="B69">
        <v>1</v>
      </c>
      <c r="C69">
        <v>1470</v>
      </c>
      <c r="D69" s="6">
        <f t="shared" si="1"/>
        <v>6.8027210884353737E-4</v>
      </c>
      <c r="H69" t="s">
        <v>64</v>
      </c>
      <c r="I69">
        <v>10</v>
      </c>
      <c r="J69">
        <v>1560</v>
      </c>
      <c r="K69" s="6">
        <v>6.41025641025641E-3</v>
      </c>
    </row>
    <row r="70" spans="1:11" x14ac:dyDescent="0.35">
      <c r="A70" s="4" t="s">
        <v>62</v>
      </c>
      <c r="B70">
        <v>1</v>
      </c>
      <c r="C70">
        <v>3035</v>
      </c>
      <c r="D70" s="6">
        <f t="shared" si="1"/>
        <v>3.2948929159802305E-4</v>
      </c>
      <c r="H70" t="s">
        <v>52</v>
      </c>
      <c r="I70">
        <v>2</v>
      </c>
      <c r="J70">
        <v>339</v>
      </c>
      <c r="K70" s="6">
        <v>5.8997050147492625E-3</v>
      </c>
    </row>
    <row r="71" spans="1:11" x14ac:dyDescent="0.35">
      <c r="A71" s="4" t="s">
        <v>69</v>
      </c>
      <c r="B71">
        <v>353</v>
      </c>
      <c r="C71">
        <v>13805</v>
      </c>
      <c r="D71" s="6">
        <f t="shared" si="1"/>
        <v>2.5570445490764215E-2</v>
      </c>
      <c r="H71" t="s">
        <v>54</v>
      </c>
      <c r="I71">
        <v>98</v>
      </c>
      <c r="J71">
        <v>21565</v>
      </c>
      <c r="K71" s="6">
        <v>4.5444006492000926E-3</v>
      </c>
    </row>
    <row r="72" spans="1:11" x14ac:dyDescent="0.35">
      <c r="A72" s="4" t="s">
        <v>63</v>
      </c>
      <c r="B72">
        <v>31</v>
      </c>
      <c r="C72">
        <v>3469</v>
      </c>
      <c r="D72" s="6">
        <f t="shared" si="1"/>
        <v>8.9362928797924474E-3</v>
      </c>
      <c r="H72" t="s">
        <v>57</v>
      </c>
      <c r="I72">
        <v>52</v>
      </c>
      <c r="J72">
        <v>13975</v>
      </c>
      <c r="K72" s="6">
        <v>3.7209302325581397E-3</v>
      </c>
    </row>
    <row r="73" spans="1:11" x14ac:dyDescent="0.35">
      <c r="A73" s="4" t="s">
        <v>70</v>
      </c>
      <c r="B73">
        <v>348</v>
      </c>
      <c r="C73">
        <v>43399</v>
      </c>
      <c r="D73" s="6">
        <f t="shared" si="1"/>
        <v>8.018617940505542E-3</v>
      </c>
      <c r="H73" t="s">
        <v>72</v>
      </c>
      <c r="I73">
        <v>41</v>
      </c>
      <c r="J73">
        <v>13546</v>
      </c>
      <c r="K73" s="6">
        <v>3.026723756090359E-3</v>
      </c>
    </row>
    <row r="74" spans="1:11" x14ac:dyDescent="0.35">
      <c r="A74" s="4" t="s">
        <v>82</v>
      </c>
      <c r="B74">
        <v>1508</v>
      </c>
      <c r="C74">
        <v>57838</v>
      </c>
      <c r="D74" s="6">
        <f t="shared" si="1"/>
        <v>2.6072824094885715E-2</v>
      </c>
      <c r="H74" t="s">
        <v>53</v>
      </c>
      <c r="I74">
        <v>10</v>
      </c>
      <c r="J74">
        <v>3439</v>
      </c>
      <c r="K74" s="6">
        <v>2.907822041291073E-3</v>
      </c>
    </row>
    <row r="75" spans="1:11" x14ac:dyDescent="0.35">
      <c r="A75" s="4" t="s">
        <v>51</v>
      </c>
      <c r="B75">
        <v>0</v>
      </c>
      <c r="C75">
        <v>1252</v>
      </c>
      <c r="D75" s="6">
        <f t="shared" si="1"/>
        <v>0</v>
      </c>
      <c r="H75" t="s">
        <v>60</v>
      </c>
      <c r="I75">
        <v>8</v>
      </c>
      <c r="J75">
        <v>3890</v>
      </c>
      <c r="K75" s="6">
        <v>2.056555269922879E-3</v>
      </c>
    </row>
    <row r="76" spans="1:11" x14ac:dyDescent="0.35">
      <c r="A76" s="4" t="s">
        <v>83</v>
      </c>
      <c r="B76">
        <v>1970</v>
      </c>
      <c r="C76">
        <v>73613</v>
      </c>
      <c r="D76" s="6">
        <f t="shared" si="1"/>
        <v>2.6761577438767607E-2</v>
      </c>
      <c r="H76" t="s">
        <v>61</v>
      </c>
      <c r="I76">
        <v>1</v>
      </c>
      <c r="J76">
        <v>1470</v>
      </c>
      <c r="K76" s="6">
        <v>6.8027210884353737E-4</v>
      </c>
    </row>
    <row r="77" spans="1:11" x14ac:dyDescent="0.35">
      <c r="A77" s="4" t="s">
        <v>64</v>
      </c>
      <c r="B77">
        <v>10</v>
      </c>
      <c r="C77">
        <v>1560</v>
      </c>
      <c r="D77" s="6">
        <f t="shared" si="1"/>
        <v>6.41025641025641E-3</v>
      </c>
      <c r="H77" t="s">
        <v>62</v>
      </c>
      <c r="I77">
        <v>1</v>
      </c>
      <c r="J77">
        <v>3035</v>
      </c>
      <c r="K77" s="6">
        <v>3.2948929159802305E-4</v>
      </c>
    </row>
    <row r="78" spans="1:11" x14ac:dyDescent="0.35">
      <c r="A78" s="4" t="s">
        <v>84</v>
      </c>
      <c r="B78">
        <v>1182</v>
      </c>
      <c r="C78">
        <v>115929</v>
      </c>
      <c r="D78" s="6">
        <f t="shared" si="1"/>
        <v>1.0195895763786456E-2</v>
      </c>
      <c r="H78" t="s">
        <v>73</v>
      </c>
      <c r="I78">
        <v>0</v>
      </c>
      <c r="J78">
        <v>177</v>
      </c>
      <c r="K78" s="6">
        <f ca="1">+E36+K78:K105</f>
        <v>0</v>
      </c>
    </row>
    <row r="79" spans="1:11" x14ac:dyDescent="0.35">
      <c r="A79" s="4" t="s">
        <v>71</v>
      </c>
      <c r="B79">
        <v>160</v>
      </c>
      <c r="C79">
        <v>16023</v>
      </c>
      <c r="D79" s="6">
        <f t="shared" si="1"/>
        <v>9.985645634400549E-3</v>
      </c>
      <c r="H79" t="s">
        <v>58</v>
      </c>
      <c r="I79">
        <v>0</v>
      </c>
      <c r="J79">
        <v>269</v>
      </c>
      <c r="K79" s="6">
        <v>0</v>
      </c>
    </row>
    <row r="80" spans="1:11" x14ac:dyDescent="0.35">
      <c r="A80" s="4" t="s">
        <v>85</v>
      </c>
      <c r="B80">
        <v>864</v>
      </c>
      <c r="C80">
        <v>26799</v>
      </c>
      <c r="D80" s="6">
        <f t="shared" si="1"/>
        <v>3.2240008955558043E-2</v>
      </c>
      <c r="H80" t="s">
        <v>51</v>
      </c>
      <c r="I80">
        <v>0</v>
      </c>
      <c r="J80">
        <v>1252</v>
      </c>
      <c r="K80" s="6">
        <v>0</v>
      </c>
    </row>
    <row r="81" spans="1:3" x14ac:dyDescent="0.35">
      <c r="A81" s="4" t="s">
        <v>87</v>
      </c>
      <c r="B81">
        <v>23794</v>
      </c>
      <c r="C81">
        <v>1000549</v>
      </c>
    </row>
  </sheetData>
  <sortState xmlns:xlrd2="http://schemas.microsoft.com/office/spreadsheetml/2017/richdata2" ref="H46:K80">
    <sortCondition descending="1" ref="K46:K8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9069-C7D1-4B97-8083-896B62640D97}">
  <dimension ref="G8:J15"/>
  <sheetViews>
    <sheetView workbookViewId="0">
      <selection sqref="A1:XFD1"/>
    </sheetView>
  </sheetViews>
  <sheetFormatPr defaultRowHeight="14.5" x14ac:dyDescent="0.35"/>
  <cols>
    <col min="7" max="7" width="16.54296875" bestFit="1" customWidth="1"/>
    <col min="8" max="9" width="15.08984375" bestFit="1" customWidth="1"/>
  </cols>
  <sheetData>
    <row r="8" spans="7:10" x14ac:dyDescent="0.35">
      <c r="G8" s="25" t="s">
        <v>112</v>
      </c>
      <c r="H8" s="25"/>
      <c r="I8" s="25"/>
      <c r="J8" s="25"/>
    </row>
    <row r="9" spans="7:10" x14ac:dyDescent="0.35">
      <c r="G9" s="5" t="s">
        <v>103</v>
      </c>
      <c r="H9" s="5" t="s">
        <v>109</v>
      </c>
      <c r="I9" s="5" t="s">
        <v>110</v>
      </c>
      <c r="J9" s="5" t="s">
        <v>111</v>
      </c>
    </row>
    <row r="10" spans="7:10" x14ac:dyDescent="0.35">
      <c r="G10" s="5" t="s">
        <v>51</v>
      </c>
      <c r="H10" s="7">
        <v>0</v>
      </c>
      <c r="I10" s="7">
        <v>0</v>
      </c>
      <c r="J10" s="7">
        <v>0</v>
      </c>
    </row>
    <row r="11" spans="7:10" x14ac:dyDescent="0.35">
      <c r="G11" s="5" t="s">
        <v>72</v>
      </c>
      <c r="H11" s="7">
        <v>9.345175600389697E-3</v>
      </c>
      <c r="I11" s="7">
        <v>9.4391244870041038E-3</v>
      </c>
      <c r="J11" s="7">
        <v>9.394888661440684E-5</v>
      </c>
    </row>
    <row r="12" spans="7:10" x14ac:dyDescent="0.35">
      <c r="G12" s="5" t="s">
        <v>62</v>
      </c>
      <c r="H12" s="7">
        <v>2.115805063826786E-4</v>
      </c>
      <c r="I12" s="7">
        <v>5.4714572314426405E-4</v>
      </c>
      <c r="J12" s="7">
        <v>3.3556521676158548E-4</v>
      </c>
    </row>
    <row r="13" spans="7:10" x14ac:dyDescent="0.35">
      <c r="G13" s="5" t="s">
        <v>53</v>
      </c>
      <c r="H13" s="7">
        <v>8.6051114361930983E-5</v>
      </c>
      <c r="I13" s="7">
        <v>1.4684287812041115E-3</v>
      </c>
      <c r="J13" s="7">
        <v>1.3823776668421806E-3</v>
      </c>
    </row>
    <row r="14" spans="7:10" x14ac:dyDescent="0.35">
      <c r="G14" s="5" t="s">
        <v>64</v>
      </c>
      <c r="H14" s="7">
        <v>4.6883222503946798E-3</v>
      </c>
      <c r="I14" s="7">
        <v>6.7114093959731542E-3</v>
      </c>
      <c r="J14" s="7">
        <v>2.0230871455784744E-3</v>
      </c>
    </row>
    <row r="15" spans="7:10" x14ac:dyDescent="0.35">
      <c r="G15" s="5" t="s">
        <v>71</v>
      </c>
      <c r="H15" s="7">
        <v>2.9081639973027387E-2</v>
      </c>
      <c r="I15" s="7">
        <v>3.1667996215424002E-2</v>
      </c>
      <c r="J15" s="7">
        <v>2.5863562423966147E-3</v>
      </c>
    </row>
  </sheetData>
  <mergeCells count="1">
    <mergeCell ref="G8:J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BC6F8-8942-41CE-B668-1E05AB0E7C9B}">
  <dimension ref="A1:O79"/>
  <sheetViews>
    <sheetView topLeftCell="C38" workbookViewId="0">
      <selection activeCell="L4" sqref="L4:O9"/>
    </sheetView>
  </sheetViews>
  <sheetFormatPr defaultRowHeight="14.5" x14ac:dyDescent="0.35"/>
  <cols>
    <col min="1" max="1" width="23.36328125" bestFit="1" customWidth="1"/>
    <col min="2" max="2" width="25.453125" bestFit="1" customWidth="1"/>
    <col min="3" max="3" width="23.36328125" bestFit="1" customWidth="1"/>
    <col min="7" max="7" width="23.36328125" bestFit="1" customWidth="1"/>
    <col min="8" max="8" width="6.81640625" bestFit="1" customWidth="1"/>
    <col min="9" max="9" width="7.81640625" bestFit="1" customWidth="1"/>
    <col min="10" max="10" width="6.81640625" bestFit="1" customWidth="1"/>
    <col min="11" max="11" width="6.81640625" customWidth="1"/>
    <col min="12" max="12" width="23.36328125" bestFit="1" customWidth="1"/>
  </cols>
  <sheetData>
    <row r="1" spans="1:15" x14ac:dyDescent="0.35">
      <c r="A1" s="3" t="s">
        <v>92</v>
      </c>
      <c r="B1" t="s">
        <v>89</v>
      </c>
    </row>
    <row r="3" spans="1:15" x14ac:dyDescent="0.35">
      <c r="A3" s="3" t="s">
        <v>86</v>
      </c>
      <c r="B3" t="s">
        <v>88</v>
      </c>
      <c r="C3" t="s">
        <v>102</v>
      </c>
      <c r="M3">
        <v>2022</v>
      </c>
      <c r="N3">
        <v>2024</v>
      </c>
    </row>
    <row r="4" spans="1:15" x14ac:dyDescent="0.35">
      <c r="A4" s="4" t="s">
        <v>52</v>
      </c>
      <c r="B4">
        <v>23</v>
      </c>
      <c r="C4">
        <v>6396</v>
      </c>
      <c r="D4" s="6">
        <f>B4/C4</f>
        <v>3.595997498436523E-3</v>
      </c>
      <c r="G4" t="s">
        <v>52</v>
      </c>
      <c r="H4">
        <v>23</v>
      </c>
      <c r="I4">
        <v>6396</v>
      </c>
      <c r="J4" s="6">
        <v>3.595997498436523E-3</v>
      </c>
      <c r="K4" s="6"/>
      <c r="L4" t="s">
        <v>51</v>
      </c>
      <c r="M4" s="6">
        <v>0</v>
      </c>
      <c r="N4" s="6">
        <v>0</v>
      </c>
      <c r="O4" s="6">
        <v>0</v>
      </c>
    </row>
    <row r="5" spans="1:15" x14ac:dyDescent="0.35">
      <c r="A5" s="4" t="s">
        <v>76</v>
      </c>
      <c r="B5">
        <v>28050</v>
      </c>
      <c r="C5">
        <v>732826</v>
      </c>
      <c r="D5" s="6">
        <f t="shared" ref="D5:D38" si="0">B5/C5</f>
        <v>3.8276480365052552E-2</v>
      </c>
      <c r="G5" t="s">
        <v>76</v>
      </c>
      <c r="H5">
        <v>28050</v>
      </c>
      <c r="I5">
        <v>732826</v>
      </c>
      <c r="J5" s="6">
        <v>3.8276480365052552E-2</v>
      </c>
      <c r="K5" s="6"/>
      <c r="L5" t="s">
        <v>72</v>
      </c>
      <c r="M5" s="6">
        <v>9.345175600389697E-3</v>
      </c>
      <c r="N5" s="6">
        <v>9.4391244870041038E-3</v>
      </c>
      <c r="O5" s="6">
        <v>9.394888661440684E-5</v>
      </c>
    </row>
    <row r="6" spans="1:15" x14ac:dyDescent="0.35">
      <c r="A6" s="4" t="s">
        <v>53</v>
      </c>
      <c r="B6">
        <v>2</v>
      </c>
      <c r="C6">
        <v>23242</v>
      </c>
      <c r="D6" s="6">
        <f t="shared" si="0"/>
        <v>8.6051114361930983E-5</v>
      </c>
      <c r="G6" t="s">
        <v>53</v>
      </c>
      <c r="H6">
        <v>2</v>
      </c>
      <c r="I6">
        <v>23242</v>
      </c>
      <c r="J6" s="6">
        <v>8.6051114361930983E-5</v>
      </c>
      <c r="K6" s="6"/>
      <c r="L6" t="s">
        <v>62</v>
      </c>
      <c r="M6" s="6">
        <v>2.115805063826786E-4</v>
      </c>
      <c r="N6" s="6">
        <v>5.4714572314426405E-4</v>
      </c>
      <c r="O6" s="6">
        <v>3.3556521676158548E-4</v>
      </c>
    </row>
    <row r="7" spans="1:15" x14ac:dyDescent="0.35">
      <c r="A7" s="4" t="s">
        <v>54</v>
      </c>
      <c r="B7">
        <v>1984</v>
      </c>
      <c r="C7">
        <v>433527</v>
      </c>
      <c r="D7" s="6">
        <f t="shared" si="0"/>
        <v>4.5764162324376566E-3</v>
      </c>
      <c r="G7" t="s">
        <v>54</v>
      </c>
      <c r="H7">
        <v>1984</v>
      </c>
      <c r="I7">
        <v>433527</v>
      </c>
      <c r="J7" s="6">
        <v>4.5764162324376566E-3</v>
      </c>
      <c r="K7" s="6"/>
      <c r="L7" t="s">
        <v>53</v>
      </c>
      <c r="M7" s="6">
        <v>8.6051114361930983E-5</v>
      </c>
      <c r="N7" s="6">
        <v>1.4684287812041115E-3</v>
      </c>
      <c r="O7" s="6">
        <v>1.3823776668421806E-3</v>
      </c>
    </row>
    <row r="8" spans="1:15" x14ac:dyDescent="0.35">
      <c r="A8" s="4" t="s">
        <v>65</v>
      </c>
      <c r="B8">
        <v>10071</v>
      </c>
      <c r="C8">
        <v>983697</v>
      </c>
      <c r="D8" s="6">
        <f t="shared" si="0"/>
        <v>1.0237908624301996E-2</v>
      </c>
      <c r="G8" t="s">
        <v>65</v>
      </c>
      <c r="H8">
        <v>10071</v>
      </c>
      <c r="I8">
        <v>983697</v>
      </c>
      <c r="J8" s="6">
        <v>1.0237908624301996E-2</v>
      </c>
      <c r="K8" s="6"/>
      <c r="L8" t="s">
        <v>64</v>
      </c>
      <c r="M8" s="6">
        <v>4.6883222503946798E-3</v>
      </c>
      <c r="N8" s="6">
        <v>6.7114093959731542E-3</v>
      </c>
      <c r="O8" s="6">
        <v>2.0230871455784744E-3</v>
      </c>
    </row>
    <row r="9" spans="1:15" x14ac:dyDescent="0.35">
      <c r="A9" s="4" t="s">
        <v>66</v>
      </c>
      <c r="B9">
        <v>1129</v>
      </c>
      <c r="C9">
        <v>47879</v>
      </c>
      <c r="D9" s="6">
        <f t="shared" si="0"/>
        <v>2.358027527726143E-2</v>
      </c>
      <c r="G9" t="s">
        <v>66</v>
      </c>
      <c r="H9">
        <v>1129</v>
      </c>
      <c r="I9">
        <v>47879</v>
      </c>
      <c r="J9" s="6">
        <v>2.358027527726143E-2</v>
      </c>
      <c r="K9" s="6"/>
      <c r="L9" t="s">
        <v>71</v>
      </c>
      <c r="M9" s="6">
        <v>2.9081639973027387E-2</v>
      </c>
      <c r="N9" s="6">
        <v>3.1667996215424002E-2</v>
      </c>
      <c r="O9" s="6">
        <v>2.5863562423966147E-3</v>
      </c>
    </row>
    <row r="10" spans="1:15" x14ac:dyDescent="0.35">
      <c r="A10" s="4" t="s">
        <v>55</v>
      </c>
      <c r="B10">
        <v>16760</v>
      </c>
      <c r="C10">
        <v>432818</v>
      </c>
      <c r="D10" s="6">
        <f t="shared" si="0"/>
        <v>3.8722973628638364E-2</v>
      </c>
      <c r="G10" t="s">
        <v>55</v>
      </c>
      <c r="H10">
        <v>16760</v>
      </c>
      <c r="I10">
        <v>432818</v>
      </c>
      <c r="J10" s="6">
        <v>3.8722973628638364E-2</v>
      </c>
      <c r="K10" s="6"/>
      <c r="L10" t="s">
        <v>74</v>
      </c>
      <c r="M10" s="6">
        <v>2.0265297638977175E-2</v>
      </c>
      <c r="N10" s="6">
        <v>2.2968733686978916E-2</v>
      </c>
      <c r="O10" s="6">
        <v>2.7034360480017415E-3</v>
      </c>
    </row>
    <row r="11" spans="1:15" x14ac:dyDescent="0.35">
      <c r="A11" s="4" t="s">
        <v>67</v>
      </c>
      <c r="B11">
        <v>40238</v>
      </c>
      <c r="C11">
        <v>551880</v>
      </c>
      <c r="D11" s="6">
        <f t="shared" si="0"/>
        <v>7.2910777705298246E-2</v>
      </c>
      <c r="G11" t="s">
        <v>67</v>
      </c>
      <c r="H11">
        <v>40238</v>
      </c>
      <c r="I11">
        <v>551880</v>
      </c>
      <c r="J11" s="6">
        <v>7.2910777705298246E-2</v>
      </c>
      <c r="K11" s="6"/>
      <c r="L11" t="s">
        <v>52</v>
      </c>
      <c r="M11" s="6">
        <v>3.595997498436523E-3</v>
      </c>
      <c r="N11" s="6">
        <v>7.1485305798252583E-3</v>
      </c>
      <c r="O11" s="6">
        <v>3.5525330813887352E-3</v>
      </c>
    </row>
    <row r="12" spans="1:15" x14ac:dyDescent="0.35">
      <c r="A12" s="4" t="s">
        <v>56</v>
      </c>
      <c r="B12">
        <v>103</v>
      </c>
      <c r="C12">
        <v>14350</v>
      </c>
      <c r="D12" s="6">
        <f t="shared" si="0"/>
        <v>7.1777003484320562E-3</v>
      </c>
      <c r="G12" t="s">
        <v>56</v>
      </c>
      <c r="H12">
        <v>103</v>
      </c>
      <c r="I12">
        <v>14350</v>
      </c>
      <c r="J12" s="6">
        <v>7.1777003484320562E-3</v>
      </c>
      <c r="K12" s="6"/>
      <c r="L12" t="s">
        <v>75</v>
      </c>
      <c r="M12" s="6">
        <v>1.5290682829897536E-2</v>
      </c>
      <c r="N12" s="6">
        <v>1.8862766539092399E-2</v>
      </c>
      <c r="O12" s="6">
        <v>3.5720837091948628E-3</v>
      </c>
    </row>
    <row r="13" spans="1:15" x14ac:dyDescent="0.35">
      <c r="A13" s="4" t="s">
        <v>77</v>
      </c>
      <c r="B13">
        <v>5616</v>
      </c>
      <c r="C13">
        <v>68010</v>
      </c>
      <c r="D13" s="6">
        <f t="shared" si="0"/>
        <v>8.2576091751213054E-2</v>
      </c>
      <c r="G13" t="s">
        <v>77</v>
      </c>
      <c r="H13">
        <v>5616</v>
      </c>
      <c r="I13">
        <v>68010</v>
      </c>
      <c r="J13" s="6">
        <v>8.2576091751213054E-2</v>
      </c>
      <c r="K13" s="6"/>
      <c r="L13" t="s">
        <v>60</v>
      </c>
      <c r="M13" s="6">
        <v>1.0899362552432539E-3</v>
      </c>
      <c r="N13" s="6">
        <v>5.0893228084752801E-3</v>
      </c>
      <c r="O13" s="6">
        <v>3.9993865532320259E-3</v>
      </c>
    </row>
    <row r="14" spans="1:15" x14ac:dyDescent="0.35">
      <c r="A14" s="4" t="s">
        <v>78</v>
      </c>
      <c r="B14">
        <v>67388</v>
      </c>
      <c r="C14">
        <v>1388307</v>
      </c>
      <c r="D14" s="6">
        <f t="shared" si="0"/>
        <v>4.8539696191116227E-2</v>
      </c>
      <c r="G14" t="s">
        <v>78</v>
      </c>
      <c r="H14">
        <v>67388</v>
      </c>
      <c r="I14">
        <v>1388307</v>
      </c>
      <c r="J14" s="6">
        <v>4.8539696191116227E-2</v>
      </c>
      <c r="K14" s="6"/>
      <c r="L14" t="s">
        <v>59</v>
      </c>
      <c r="M14" s="6">
        <v>2.4212144504227517E-3</v>
      </c>
      <c r="N14" s="6">
        <v>6.7404078810922915E-3</v>
      </c>
      <c r="O14" s="6">
        <v>4.3191934306695398E-3</v>
      </c>
    </row>
    <row r="15" spans="1:15" x14ac:dyDescent="0.35">
      <c r="A15" s="4" t="s">
        <v>74</v>
      </c>
      <c r="B15">
        <v>12529</v>
      </c>
      <c r="C15">
        <v>618249</v>
      </c>
      <c r="D15" s="6">
        <f t="shared" si="0"/>
        <v>2.0265297638977175E-2</v>
      </c>
      <c r="G15" t="s">
        <v>74</v>
      </c>
      <c r="H15">
        <v>12529</v>
      </c>
      <c r="I15">
        <v>618249</v>
      </c>
      <c r="J15" s="6">
        <v>2.0265297638977175E-2</v>
      </c>
      <c r="K15" s="6"/>
      <c r="L15" t="s">
        <v>54</v>
      </c>
      <c r="M15" s="6">
        <v>4.5764162324376566E-3</v>
      </c>
      <c r="N15" s="6">
        <v>9.240503756495112E-3</v>
      </c>
      <c r="O15" s="6">
        <v>4.6640875240574553E-3</v>
      </c>
    </row>
    <row r="16" spans="1:15" x14ac:dyDescent="0.35">
      <c r="A16" s="4" t="s">
        <v>72</v>
      </c>
      <c r="B16">
        <v>988</v>
      </c>
      <c r="C16">
        <v>105723</v>
      </c>
      <c r="D16" s="6">
        <f t="shared" si="0"/>
        <v>9.345175600389697E-3</v>
      </c>
      <c r="G16" t="s">
        <v>72</v>
      </c>
      <c r="H16">
        <v>988</v>
      </c>
      <c r="I16">
        <v>105723</v>
      </c>
      <c r="J16" s="6">
        <v>9.345175600389697E-3</v>
      </c>
      <c r="K16" s="6"/>
      <c r="L16" t="s">
        <v>78</v>
      </c>
      <c r="M16" s="6">
        <v>4.8539696191116227E-2</v>
      </c>
      <c r="N16" s="6">
        <v>5.7505482867602299E-2</v>
      </c>
      <c r="O16" s="6">
        <v>8.9657866764860719E-3</v>
      </c>
    </row>
    <row r="17" spans="1:15" x14ac:dyDescent="0.35">
      <c r="A17" s="4" t="s">
        <v>57</v>
      </c>
      <c r="B17">
        <v>2180</v>
      </c>
      <c r="C17">
        <v>138151</v>
      </c>
      <c r="D17" s="6">
        <f t="shared" si="0"/>
        <v>1.577983510796158E-2</v>
      </c>
      <c r="G17" t="s">
        <v>57</v>
      </c>
      <c r="H17">
        <v>2180</v>
      </c>
      <c r="I17">
        <v>138151</v>
      </c>
      <c r="J17" s="6">
        <v>1.577983510796158E-2</v>
      </c>
      <c r="K17" s="6"/>
      <c r="L17" t="s">
        <v>65</v>
      </c>
      <c r="M17" s="6">
        <v>1.0237908624301996E-2</v>
      </c>
      <c r="N17" s="6">
        <v>1.9395893859463265E-2</v>
      </c>
      <c r="O17" s="6">
        <v>9.1579852351612694E-3</v>
      </c>
    </row>
    <row r="18" spans="1:15" x14ac:dyDescent="0.35">
      <c r="A18" s="4" t="s">
        <v>75</v>
      </c>
      <c r="B18">
        <v>6887</v>
      </c>
      <c r="C18">
        <v>450405</v>
      </c>
      <c r="D18" s="6">
        <f t="shared" si="0"/>
        <v>1.5290682829897536E-2</v>
      </c>
      <c r="G18" t="s">
        <v>75</v>
      </c>
      <c r="H18">
        <v>6887</v>
      </c>
      <c r="I18">
        <v>450405</v>
      </c>
      <c r="J18" s="6">
        <v>1.5290682829897536E-2</v>
      </c>
      <c r="K18" s="6"/>
      <c r="L18" t="s">
        <v>70</v>
      </c>
      <c r="M18" s="6">
        <v>1.529320299868293E-2</v>
      </c>
      <c r="N18" s="6">
        <v>2.5145093988283747E-2</v>
      </c>
      <c r="O18" s="6">
        <v>9.8518909896008165E-3</v>
      </c>
    </row>
    <row r="19" spans="1:15" x14ac:dyDescent="0.35">
      <c r="A19" s="4" t="s">
        <v>79</v>
      </c>
      <c r="B19">
        <v>91247</v>
      </c>
      <c r="C19">
        <v>1343234</v>
      </c>
      <c r="D19" s="6">
        <f t="shared" si="0"/>
        <v>6.7930829624622366E-2</v>
      </c>
      <c r="G19" t="s">
        <v>79</v>
      </c>
      <c r="H19">
        <v>91247</v>
      </c>
      <c r="I19">
        <v>1343234</v>
      </c>
      <c r="J19" s="6">
        <v>6.7930829624622366E-2</v>
      </c>
      <c r="K19" s="6"/>
      <c r="L19" t="s">
        <v>82</v>
      </c>
      <c r="M19" s="6">
        <v>5.1862091609347863E-2</v>
      </c>
      <c r="N19" s="6">
        <v>6.1869286574059011E-2</v>
      </c>
      <c r="O19" s="6">
        <v>1.0007194964711148E-2</v>
      </c>
    </row>
    <row r="20" spans="1:15" x14ac:dyDescent="0.35">
      <c r="A20" s="4" t="s">
        <v>80</v>
      </c>
      <c r="B20">
        <v>37258</v>
      </c>
      <c r="C20">
        <v>732817</v>
      </c>
      <c r="D20" s="6">
        <f t="shared" si="0"/>
        <v>5.0842161139820721E-2</v>
      </c>
      <c r="G20" t="s">
        <v>80</v>
      </c>
      <c r="H20">
        <v>37258</v>
      </c>
      <c r="I20">
        <v>732817</v>
      </c>
      <c r="J20" s="6">
        <v>5.0842161139820721E-2</v>
      </c>
      <c r="K20" s="6"/>
      <c r="L20" t="s">
        <v>57</v>
      </c>
      <c r="M20" s="6">
        <v>1.577983510796158E-2</v>
      </c>
      <c r="N20" s="6">
        <v>2.6512643982523499E-2</v>
      </c>
      <c r="O20" s="6">
        <v>1.0732808874561919E-2</v>
      </c>
    </row>
    <row r="21" spans="1:15" x14ac:dyDescent="0.35">
      <c r="A21" s="4" t="s">
        <v>58</v>
      </c>
      <c r="B21">
        <v>30</v>
      </c>
      <c r="C21">
        <v>4451</v>
      </c>
      <c r="D21" s="6">
        <f t="shared" si="0"/>
        <v>6.7400584138395869E-3</v>
      </c>
      <c r="G21" t="s">
        <v>58</v>
      </c>
      <c r="H21">
        <v>30</v>
      </c>
      <c r="I21">
        <v>4451</v>
      </c>
      <c r="J21" s="6">
        <v>6.7400584138395869E-3</v>
      </c>
      <c r="K21" s="6"/>
      <c r="L21" t="s">
        <v>67</v>
      </c>
      <c r="M21" s="6">
        <v>7.2910777705298246E-2</v>
      </c>
      <c r="N21" s="6">
        <v>8.5196901930838884E-2</v>
      </c>
      <c r="O21" s="6">
        <v>1.2286124225540637E-2</v>
      </c>
    </row>
    <row r="22" spans="1:15" x14ac:dyDescent="0.35">
      <c r="A22" s="4" t="s">
        <v>68</v>
      </c>
      <c r="B22">
        <v>22952</v>
      </c>
      <c r="C22">
        <v>1194073</v>
      </c>
      <c r="D22" s="6">
        <f t="shared" si="0"/>
        <v>1.9221605379235607E-2</v>
      </c>
      <c r="G22" t="s">
        <v>68</v>
      </c>
      <c r="H22">
        <v>22952</v>
      </c>
      <c r="I22">
        <v>1194073</v>
      </c>
      <c r="J22" s="6">
        <v>1.9221605379235607E-2</v>
      </c>
      <c r="K22" s="6"/>
      <c r="L22" t="s">
        <v>85</v>
      </c>
      <c r="M22" s="6">
        <v>1.0291363300622559E-2</v>
      </c>
      <c r="N22" s="6">
        <v>2.4676227333857017E-2</v>
      </c>
      <c r="O22" s="6">
        <v>1.4384864033234458E-2</v>
      </c>
    </row>
    <row r="23" spans="1:15" x14ac:dyDescent="0.35">
      <c r="A23" s="4" t="s">
        <v>81</v>
      </c>
      <c r="B23">
        <v>129249</v>
      </c>
      <c r="C23">
        <v>2080473</v>
      </c>
      <c r="D23" s="6">
        <f t="shared" si="0"/>
        <v>6.2124814885845668E-2</v>
      </c>
      <c r="G23" t="s">
        <v>81</v>
      </c>
      <c r="H23">
        <v>129249</v>
      </c>
      <c r="I23">
        <v>2080473</v>
      </c>
      <c r="J23" s="6">
        <v>6.2124814885845668E-2</v>
      </c>
      <c r="K23" s="6"/>
      <c r="L23" t="s">
        <v>56</v>
      </c>
      <c r="M23" s="6">
        <v>7.1777003484320562E-3</v>
      </c>
      <c r="N23" s="6">
        <v>2.2449975597852612E-2</v>
      </c>
      <c r="O23" s="6">
        <v>1.5272275249420555E-2</v>
      </c>
    </row>
    <row r="24" spans="1:15" x14ac:dyDescent="0.35">
      <c r="A24" s="4" t="s">
        <v>59</v>
      </c>
      <c r="B24">
        <v>126</v>
      </c>
      <c r="C24">
        <v>52040</v>
      </c>
      <c r="D24" s="6">
        <f t="shared" si="0"/>
        <v>2.4212144504227517E-3</v>
      </c>
      <c r="G24" t="s">
        <v>59</v>
      </c>
      <c r="H24">
        <v>126</v>
      </c>
      <c r="I24">
        <v>52040</v>
      </c>
      <c r="J24" s="6">
        <v>2.4212144504227517E-3</v>
      </c>
      <c r="K24" s="6"/>
      <c r="L24" t="s">
        <v>61</v>
      </c>
      <c r="M24" s="6">
        <v>1.4849647320876128E-3</v>
      </c>
      <c r="N24" s="6">
        <v>1.8598382749326146E-2</v>
      </c>
      <c r="O24" s="6">
        <v>1.7113418017238535E-2</v>
      </c>
    </row>
    <row r="25" spans="1:15" x14ac:dyDescent="0.35">
      <c r="A25" s="4" t="s">
        <v>60</v>
      </c>
      <c r="B25">
        <v>33</v>
      </c>
      <c r="C25">
        <v>30277</v>
      </c>
      <c r="D25" s="6">
        <f t="shared" si="0"/>
        <v>1.0899362552432539E-3</v>
      </c>
      <c r="G25" t="s">
        <v>60</v>
      </c>
      <c r="H25">
        <v>33</v>
      </c>
      <c r="I25">
        <v>30277</v>
      </c>
      <c r="J25" s="6">
        <v>1.0899362552432539E-3</v>
      </c>
      <c r="K25" s="6"/>
      <c r="L25" t="s">
        <v>69</v>
      </c>
      <c r="M25" s="6">
        <v>4.5454545454545456E-2</v>
      </c>
      <c r="N25" s="6">
        <v>6.3984905054398009E-2</v>
      </c>
      <c r="O25" s="6">
        <v>1.8530359599852553E-2</v>
      </c>
    </row>
    <row r="26" spans="1:15" x14ac:dyDescent="0.35">
      <c r="A26" s="4" t="s">
        <v>61</v>
      </c>
      <c r="B26">
        <v>36</v>
      </c>
      <c r="C26">
        <v>24243</v>
      </c>
      <c r="D26" s="6">
        <f t="shared" si="0"/>
        <v>1.4849647320876128E-3</v>
      </c>
      <c r="G26" t="s">
        <v>61</v>
      </c>
      <c r="H26">
        <v>36</v>
      </c>
      <c r="I26">
        <v>24243</v>
      </c>
      <c r="J26" s="6">
        <v>1.4849647320876128E-3</v>
      </c>
      <c r="K26" s="6"/>
      <c r="L26" t="s">
        <v>84</v>
      </c>
      <c r="M26" s="6">
        <v>9.0651858151618095E-3</v>
      </c>
      <c r="N26" s="6">
        <v>2.9672934466556031E-2</v>
      </c>
      <c r="O26" s="6">
        <v>2.0607748651394222E-2</v>
      </c>
    </row>
    <row r="27" spans="1:15" x14ac:dyDescent="0.35">
      <c r="A27" s="4" t="s">
        <v>62</v>
      </c>
      <c r="B27">
        <v>3</v>
      </c>
      <c r="C27">
        <v>14179</v>
      </c>
      <c r="D27" s="6">
        <f t="shared" si="0"/>
        <v>2.115805063826786E-4</v>
      </c>
      <c r="G27" t="s">
        <v>62</v>
      </c>
      <c r="H27">
        <v>3</v>
      </c>
      <c r="I27">
        <v>14179</v>
      </c>
      <c r="J27" s="6">
        <v>2.115805063826786E-4</v>
      </c>
      <c r="K27" s="6"/>
      <c r="L27" t="s">
        <v>55</v>
      </c>
      <c r="M27" s="6">
        <v>3.8722973628638364E-2</v>
      </c>
      <c r="N27" s="6">
        <v>5.9562250800247095E-2</v>
      </c>
      <c r="O27" s="6">
        <v>2.083927717160873E-2</v>
      </c>
    </row>
    <row r="28" spans="1:15" x14ac:dyDescent="0.35">
      <c r="A28" s="4" t="s">
        <v>69</v>
      </c>
      <c r="B28">
        <v>26159</v>
      </c>
      <c r="C28">
        <v>575498</v>
      </c>
      <c r="D28" s="6">
        <f t="shared" si="0"/>
        <v>4.5454545454545456E-2</v>
      </c>
      <c r="G28" t="s">
        <v>69</v>
      </c>
      <c r="H28">
        <v>26159</v>
      </c>
      <c r="I28">
        <v>575498</v>
      </c>
      <c r="J28" s="6">
        <v>4.5454545454545456E-2</v>
      </c>
      <c r="K28" s="6"/>
      <c r="L28" t="s">
        <v>83</v>
      </c>
      <c r="M28" s="6">
        <v>4.0896843357469889E-2</v>
      </c>
      <c r="N28" s="6">
        <v>6.3721658334595768E-2</v>
      </c>
      <c r="O28" s="6">
        <v>2.2824814977125879E-2</v>
      </c>
    </row>
    <row r="29" spans="1:15" x14ac:dyDescent="0.35">
      <c r="A29" s="4" t="s">
        <v>63</v>
      </c>
      <c r="B29">
        <v>1454</v>
      </c>
      <c r="C29">
        <v>49662</v>
      </c>
      <c r="D29" s="6">
        <f t="shared" si="0"/>
        <v>2.9277918730618985E-2</v>
      </c>
      <c r="G29" t="s">
        <v>63</v>
      </c>
      <c r="H29">
        <v>1454</v>
      </c>
      <c r="I29">
        <v>49662</v>
      </c>
      <c r="J29" s="6">
        <v>2.9277918730618985E-2</v>
      </c>
      <c r="K29" s="6"/>
      <c r="L29" t="s">
        <v>68</v>
      </c>
      <c r="M29" s="6">
        <v>1.9221605379235607E-2</v>
      </c>
      <c r="N29" s="6">
        <v>4.2544414498652441E-2</v>
      </c>
      <c r="O29" s="6">
        <v>2.3322809119416834E-2</v>
      </c>
    </row>
    <row r="30" spans="1:15" x14ac:dyDescent="0.35">
      <c r="A30" s="4" t="s">
        <v>70</v>
      </c>
      <c r="B30">
        <v>7652</v>
      </c>
      <c r="C30">
        <v>500353</v>
      </c>
      <c r="D30" s="6">
        <f t="shared" si="0"/>
        <v>1.529320299868293E-2</v>
      </c>
      <c r="G30" t="s">
        <v>70</v>
      </c>
      <c r="H30">
        <v>7652</v>
      </c>
      <c r="I30">
        <v>500353</v>
      </c>
      <c r="J30" s="6">
        <v>1.529320299868293E-2</v>
      </c>
      <c r="K30" s="6"/>
      <c r="L30" t="s">
        <v>76</v>
      </c>
      <c r="M30" s="6">
        <v>3.8276480365052552E-2</v>
      </c>
      <c r="N30" s="6">
        <v>6.2631328549339893E-2</v>
      </c>
      <c r="O30" s="6">
        <v>2.4354848184287341E-2</v>
      </c>
    </row>
    <row r="31" spans="1:15" x14ac:dyDescent="0.35">
      <c r="A31" s="4" t="s">
        <v>82</v>
      </c>
      <c r="B31">
        <v>55600</v>
      </c>
      <c r="C31">
        <v>1072074</v>
      </c>
      <c r="D31" s="6">
        <f t="shared" si="0"/>
        <v>5.1862091609347863E-2</v>
      </c>
      <c r="G31" t="s">
        <v>82</v>
      </c>
      <c r="H31">
        <v>55600</v>
      </c>
      <c r="I31">
        <v>1072074</v>
      </c>
      <c r="J31" s="6">
        <v>5.1862091609347863E-2</v>
      </c>
      <c r="K31" s="6"/>
      <c r="L31" t="s">
        <v>58</v>
      </c>
      <c r="M31" s="6">
        <v>6.7400584138395869E-3</v>
      </c>
      <c r="N31" s="6">
        <v>4.3613707165109032E-2</v>
      </c>
      <c r="O31" s="6">
        <v>3.6873648751269444E-2</v>
      </c>
    </row>
    <row r="32" spans="1:15" x14ac:dyDescent="0.35">
      <c r="A32" s="4" t="s">
        <v>51</v>
      </c>
      <c r="B32">
        <v>0</v>
      </c>
      <c r="C32">
        <v>9669</v>
      </c>
      <c r="D32" s="6">
        <f t="shared" si="0"/>
        <v>0</v>
      </c>
      <c r="G32" t="s">
        <v>51</v>
      </c>
      <c r="H32">
        <v>0</v>
      </c>
      <c r="I32">
        <v>9669</v>
      </c>
      <c r="J32" s="6">
        <v>0</v>
      </c>
      <c r="K32" s="6"/>
      <c r="L32" t="s">
        <v>63</v>
      </c>
      <c r="M32" s="6">
        <v>2.9277918730618985E-2</v>
      </c>
      <c r="N32" s="6">
        <v>6.8673941610009712E-2</v>
      </c>
      <c r="O32" s="6">
        <v>3.939602287939073E-2</v>
      </c>
    </row>
    <row r="33" spans="1:15" x14ac:dyDescent="0.35">
      <c r="A33" s="4" t="s">
        <v>83</v>
      </c>
      <c r="B33">
        <v>64082</v>
      </c>
      <c r="C33">
        <v>1566918</v>
      </c>
      <c r="D33" s="6">
        <f t="shared" si="0"/>
        <v>4.0896843357469889E-2</v>
      </c>
      <c r="G33" t="s">
        <v>83</v>
      </c>
      <c r="H33">
        <v>64082</v>
      </c>
      <c r="I33">
        <v>1566918</v>
      </c>
      <c r="J33" s="6">
        <v>4.0896843357469889E-2</v>
      </c>
      <c r="K33" s="6"/>
      <c r="L33" t="s">
        <v>81</v>
      </c>
      <c r="M33" s="6">
        <v>6.2124814885845668E-2</v>
      </c>
      <c r="N33" s="6">
        <v>0.10367315864141426</v>
      </c>
      <c r="O33" s="6">
        <v>4.1548343755568588E-2</v>
      </c>
    </row>
    <row r="34" spans="1:15" x14ac:dyDescent="0.35">
      <c r="A34" s="4" t="s">
        <v>64</v>
      </c>
      <c r="B34">
        <v>196</v>
      </c>
      <c r="C34">
        <v>41806</v>
      </c>
      <c r="D34" s="6">
        <f t="shared" si="0"/>
        <v>4.6883222503946798E-3</v>
      </c>
      <c r="G34" t="s">
        <v>64</v>
      </c>
      <c r="H34">
        <v>196</v>
      </c>
      <c r="I34">
        <v>41806</v>
      </c>
      <c r="J34" s="6">
        <v>4.6883222503946798E-3</v>
      </c>
      <c r="K34" s="6"/>
      <c r="L34" t="s">
        <v>79</v>
      </c>
      <c r="M34" s="6">
        <v>6.7930829624622366E-2</v>
      </c>
      <c r="N34" s="6">
        <v>0.11892876620136689</v>
      </c>
      <c r="O34" s="6">
        <v>5.0997936576744521E-2</v>
      </c>
    </row>
    <row r="35" spans="1:15" x14ac:dyDescent="0.35">
      <c r="A35" s="4" t="s">
        <v>84</v>
      </c>
      <c r="B35">
        <v>23791</v>
      </c>
      <c r="C35">
        <v>2624436</v>
      </c>
      <c r="D35" s="6">
        <f t="shared" si="0"/>
        <v>9.0651858151618095E-3</v>
      </c>
      <c r="G35" t="s">
        <v>84</v>
      </c>
      <c r="H35">
        <v>23791</v>
      </c>
      <c r="I35">
        <v>2624436</v>
      </c>
      <c r="J35" s="6">
        <v>9.0651858151618095E-3</v>
      </c>
      <c r="K35" s="6"/>
      <c r="L35" t="s">
        <v>66</v>
      </c>
      <c r="M35" s="6">
        <v>2.358027527726143E-2</v>
      </c>
      <c r="N35" s="6">
        <v>8.8412514484356899E-2</v>
      </c>
      <c r="O35" s="6">
        <v>6.4832239207095466E-2</v>
      </c>
    </row>
    <row r="36" spans="1:15" x14ac:dyDescent="0.35">
      <c r="A36" s="4" t="s">
        <v>71</v>
      </c>
      <c r="B36">
        <v>6081</v>
      </c>
      <c r="C36">
        <v>209101</v>
      </c>
      <c r="D36" s="6">
        <f t="shared" si="0"/>
        <v>2.9081639973027387E-2</v>
      </c>
      <c r="G36" t="s">
        <v>71</v>
      </c>
      <c r="H36">
        <v>6081</v>
      </c>
      <c r="I36">
        <v>209101</v>
      </c>
      <c r="J36" s="6">
        <v>2.9081639973027387E-2</v>
      </c>
      <c r="K36" s="6"/>
      <c r="L36" t="s">
        <v>80</v>
      </c>
      <c r="M36" s="6">
        <v>5.0842161139820721E-2</v>
      </c>
      <c r="N36" s="6">
        <v>0.15013992537313434</v>
      </c>
      <c r="O36" s="6">
        <v>9.9297764233313615E-2</v>
      </c>
    </row>
    <row r="37" spans="1:15" x14ac:dyDescent="0.35">
      <c r="A37" s="4" t="s">
        <v>85</v>
      </c>
      <c r="B37">
        <v>9363</v>
      </c>
      <c r="C37">
        <v>909792</v>
      </c>
      <c r="D37" s="6">
        <f t="shared" si="0"/>
        <v>1.0291363300622559E-2</v>
      </c>
      <c r="G37" t="s">
        <v>85</v>
      </c>
      <c r="H37">
        <v>9363</v>
      </c>
      <c r="I37">
        <v>909792</v>
      </c>
      <c r="J37" s="6">
        <v>1.0291363300622559E-2</v>
      </c>
      <c r="K37" s="6"/>
      <c r="L37" t="s">
        <v>77</v>
      </c>
      <c r="M37" s="6">
        <v>8.2576091751213054E-2</v>
      </c>
      <c r="N37" s="6">
        <v>0.18729759775726232</v>
      </c>
      <c r="O37" s="6">
        <v>0.10472150600604926</v>
      </c>
    </row>
    <row r="38" spans="1:15" x14ac:dyDescent="0.35">
      <c r="A38" s="4" t="s">
        <v>87</v>
      </c>
      <c r="B38">
        <v>669260</v>
      </c>
      <c r="C38">
        <v>19030556</v>
      </c>
      <c r="D38" s="6">
        <f t="shared" si="0"/>
        <v>3.5167653535713828E-2</v>
      </c>
      <c r="N38" s="6"/>
      <c r="O38" s="6"/>
    </row>
    <row r="41" spans="1:15" x14ac:dyDescent="0.35">
      <c r="A41" s="3" t="s">
        <v>92</v>
      </c>
      <c r="B41" t="s">
        <v>91</v>
      </c>
    </row>
    <row r="43" spans="1:15" x14ac:dyDescent="0.35">
      <c r="A43" s="3" t="s">
        <v>86</v>
      </c>
      <c r="B43" t="s">
        <v>88</v>
      </c>
      <c r="C43" t="s">
        <v>102</v>
      </c>
    </row>
    <row r="44" spans="1:15" x14ac:dyDescent="0.35">
      <c r="A44" s="4" t="s">
        <v>73</v>
      </c>
      <c r="B44">
        <v>2</v>
      </c>
      <c r="C44">
        <v>660</v>
      </c>
      <c r="D44" s="6">
        <f>B44/C44</f>
        <v>3.0303030303030303E-3</v>
      </c>
      <c r="G44" t="s">
        <v>73</v>
      </c>
      <c r="H44">
        <v>2</v>
      </c>
      <c r="I44">
        <v>660</v>
      </c>
      <c r="J44" s="6">
        <v>3.0303030303030303E-3</v>
      </c>
      <c r="K44" s="6"/>
    </row>
    <row r="45" spans="1:15" x14ac:dyDescent="0.35">
      <c r="A45" s="4" t="s">
        <v>52</v>
      </c>
      <c r="B45">
        <v>9</v>
      </c>
      <c r="C45">
        <v>1259</v>
      </c>
      <c r="D45" s="6">
        <f t="shared" ref="D45:D79" si="1">B45/C45</f>
        <v>7.1485305798252583E-3</v>
      </c>
      <c r="G45" t="s">
        <v>52</v>
      </c>
      <c r="H45">
        <v>9</v>
      </c>
      <c r="I45">
        <v>1259</v>
      </c>
      <c r="J45" s="6">
        <v>7.1485305798252583E-3</v>
      </c>
      <c r="K45" s="6"/>
    </row>
    <row r="46" spans="1:15" x14ac:dyDescent="0.35">
      <c r="A46" s="4" t="s">
        <v>76</v>
      </c>
      <c r="B46">
        <v>12638</v>
      </c>
      <c r="C46">
        <v>201784</v>
      </c>
      <c r="D46" s="6">
        <f t="shared" si="1"/>
        <v>6.2631328549339893E-2</v>
      </c>
      <c r="G46" t="s">
        <v>76</v>
      </c>
      <c r="H46">
        <v>12638</v>
      </c>
      <c r="I46">
        <v>201784</v>
      </c>
      <c r="J46" s="6">
        <v>6.2631328549339893E-2</v>
      </c>
      <c r="K46" s="6"/>
    </row>
    <row r="47" spans="1:15" x14ac:dyDescent="0.35">
      <c r="A47" s="4" t="s">
        <v>53</v>
      </c>
      <c r="B47">
        <v>10</v>
      </c>
      <c r="C47">
        <v>6810</v>
      </c>
      <c r="D47" s="6">
        <f t="shared" si="1"/>
        <v>1.4684287812041115E-3</v>
      </c>
      <c r="G47" t="s">
        <v>53</v>
      </c>
      <c r="H47">
        <v>10</v>
      </c>
      <c r="I47">
        <v>6810</v>
      </c>
      <c r="J47" s="6">
        <v>1.4684287812041115E-3</v>
      </c>
      <c r="K47" s="6"/>
    </row>
    <row r="48" spans="1:15" x14ac:dyDescent="0.35">
      <c r="A48" s="4" t="s">
        <v>54</v>
      </c>
      <c r="B48">
        <v>1364</v>
      </c>
      <c r="C48">
        <v>147611</v>
      </c>
      <c r="D48" s="6">
        <f t="shared" si="1"/>
        <v>9.240503756495112E-3</v>
      </c>
      <c r="G48" t="s">
        <v>54</v>
      </c>
      <c r="H48">
        <v>1364</v>
      </c>
      <c r="I48">
        <v>147611</v>
      </c>
      <c r="J48" s="6">
        <v>9.240503756495112E-3</v>
      </c>
      <c r="K48" s="6"/>
    </row>
    <row r="49" spans="1:11" x14ac:dyDescent="0.35">
      <c r="A49" s="4" t="s">
        <v>65</v>
      </c>
      <c r="B49">
        <v>5401</v>
      </c>
      <c r="C49">
        <v>278461</v>
      </c>
      <c r="D49" s="6">
        <f t="shared" si="1"/>
        <v>1.9395893859463265E-2</v>
      </c>
      <c r="G49" t="s">
        <v>65</v>
      </c>
      <c r="H49">
        <v>5401</v>
      </c>
      <c r="I49">
        <v>278461</v>
      </c>
      <c r="J49" s="6">
        <v>1.9395893859463265E-2</v>
      </c>
      <c r="K49" s="6"/>
    </row>
    <row r="50" spans="1:11" x14ac:dyDescent="0.35">
      <c r="A50" s="4" t="s">
        <v>66</v>
      </c>
      <c r="B50">
        <v>763</v>
      </c>
      <c r="C50">
        <v>8630</v>
      </c>
      <c r="D50" s="6">
        <f t="shared" si="1"/>
        <v>8.8412514484356899E-2</v>
      </c>
      <c r="G50" t="s">
        <v>66</v>
      </c>
      <c r="H50">
        <v>763</v>
      </c>
      <c r="I50">
        <v>8630</v>
      </c>
      <c r="J50" s="6">
        <v>8.8412514484356899E-2</v>
      </c>
      <c r="K50" s="6"/>
    </row>
    <row r="51" spans="1:11" x14ac:dyDescent="0.35">
      <c r="A51" s="4" t="s">
        <v>55</v>
      </c>
      <c r="B51">
        <v>8485</v>
      </c>
      <c r="C51">
        <v>142456</v>
      </c>
      <c r="D51" s="6">
        <f t="shared" si="1"/>
        <v>5.9562250800247095E-2</v>
      </c>
      <c r="G51" t="s">
        <v>55</v>
      </c>
      <c r="H51">
        <v>8485</v>
      </c>
      <c r="I51">
        <v>142456</v>
      </c>
      <c r="J51" s="6">
        <v>5.9562250800247095E-2</v>
      </c>
      <c r="K51" s="6"/>
    </row>
    <row r="52" spans="1:11" x14ac:dyDescent="0.35">
      <c r="A52" s="4" t="s">
        <v>67</v>
      </c>
      <c r="B52">
        <v>13277</v>
      </c>
      <c r="C52">
        <v>155839</v>
      </c>
      <c r="D52" s="6">
        <f t="shared" si="1"/>
        <v>8.5196901930838884E-2</v>
      </c>
      <c r="G52" t="s">
        <v>67</v>
      </c>
      <c r="H52">
        <v>13277</v>
      </c>
      <c r="I52">
        <v>155839</v>
      </c>
      <c r="J52" s="6">
        <v>8.5196901930838884E-2</v>
      </c>
      <c r="K52" s="6"/>
    </row>
    <row r="53" spans="1:11" x14ac:dyDescent="0.35">
      <c r="A53" s="4" t="s">
        <v>56</v>
      </c>
      <c r="B53">
        <v>92</v>
      </c>
      <c r="C53">
        <v>4098</v>
      </c>
      <c r="D53" s="6">
        <f t="shared" si="1"/>
        <v>2.2449975597852612E-2</v>
      </c>
      <c r="G53" t="s">
        <v>56</v>
      </c>
      <c r="H53">
        <v>92</v>
      </c>
      <c r="I53">
        <v>4098</v>
      </c>
      <c r="J53" s="6">
        <v>2.2449975597852612E-2</v>
      </c>
      <c r="K53" s="6"/>
    </row>
    <row r="54" spans="1:11" x14ac:dyDescent="0.35">
      <c r="A54" s="4" t="s">
        <v>77</v>
      </c>
      <c r="B54">
        <v>3875</v>
      </c>
      <c r="C54">
        <v>20689</v>
      </c>
      <c r="D54" s="6">
        <f t="shared" si="1"/>
        <v>0.18729759775726232</v>
      </c>
      <c r="G54" t="s">
        <v>77</v>
      </c>
      <c r="H54">
        <v>3875</v>
      </c>
      <c r="I54">
        <v>20689</v>
      </c>
      <c r="J54" s="6">
        <v>0.18729759775726232</v>
      </c>
      <c r="K54" s="6"/>
    </row>
    <row r="55" spans="1:11" x14ac:dyDescent="0.35">
      <c r="A55" s="4" t="s">
        <v>78</v>
      </c>
      <c r="B55">
        <v>20688</v>
      </c>
      <c r="C55">
        <v>359757</v>
      </c>
      <c r="D55" s="6">
        <f t="shared" si="1"/>
        <v>5.7505482867602299E-2</v>
      </c>
      <c r="G55" t="s">
        <v>78</v>
      </c>
      <c r="H55">
        <v>20688</v>
      </c>
      <c r="I55">
        <v>359757</v>
      </c>
      <c r="J55" s="6">
        <v>5.7505482867602299E-2</v>
      </c>
      <c r="K55" s="6"/>
    </row>
    <row r="56" spans="1:11" x14ac:dyDescent="0.35">
      <c r="A56" s="4" t="s">
        <v>74</v>
      </c>
      <c r="B56">
        <v>4620</v>
      </c>
      <c r="C56">
        <v>201143</v>
      </c>
      <c r="D56" s="6">
        <f t="shared" si="1"/>
        <v>2.2968733686978916E-2</v>
      </c>
      <c r="G56" t="s">
        <v>74</v>
      </c>
      <c r="H56">
        <v>4620</v>
      </c>
      <c r="I56">
        <v>201143</v>
      </c>
      <c r="J56" s="6">
        <v>2.2968733686978916E-2</v>
      </c>
      <c r="K56" s="6"/>
    </row>
    <row r="57" spans="1:11" x14ac:dyDescent="0.35">
      <c r="A57" s="4" t="s">
        <v>72</v>
      </c>
      <c r="B57">
        <v>276</v>
      </c>
      <c r="C57">
        <v>29240</v>
      </c>
      <c r="D57" s="6">
        <f t="shared" si="1"/>
        <v>9.4391244870041038E-3</v>
      </c>
      <c r="G57" t="s">
        <v>72</v>
      </c>
      <c r="H57">
        <v>276</v>
      </c>
      <c r="I57">
        <v>29240</v>
      </c>
      <c r="J57" s="6">
        <v>9.4391244870041038E-3</v>
      </c>
      <c r="K57" s="6"/>
    </row>
    <row r="58" spans="1:11" x14ac:dyDescent="0.35">
      <c r="A58" s="4" t="s">
        <v>57</v>
      </c>
      <c r="B58">
        <v>801</v>
      </c>
      <c r="C58">
        <v>30212</v>
      </c>
      <c r="D58" s="6">
        <f t="shared" si="1"/>
        <v>2.6512643982523499E-2</v>
      </c>
      <c r="G58" t="s">
        <v>57</v>
      </c>
      <c r="H58">
        <v>801</v>
      </c>
      <c r="I58">
        <v>30212</v>
      </c>
      <c r="J58" s="6">
        <v>2.6512643982523499E-2</v>
      </c>
      <c r="K58" s="6"/>
    </row>
    <row r="59" spans="1:11" x14ac:dyDescent="0.35">
      <c r="A59" s="4" t="s">
        <v>75</v>
      </c>
      <c r="B59">
        <v>2208</v>
      </c>
      <c r="C59">
        <v>117056</v>
      </c>
      <c r="D59" s="6">
        <f t="shared" si="1"/>
        <v>1.8862766539092399E-2</v>
      </c>
      <c r="G59" t="s">
        <v>75</v>
      </c>
      <c r="H59">
        <v>2208</v>
      </c>
      <c r="I59">
        <v>117056</v>
      </c>
      <c r="J59" s="6">
        <v>1.8862766539092399E-2</v>
      </c>
      <c r="K59" s="6"/>
    </row>
    <row r="60" spans="1:11" x14ac:dyDescent="0.35">
      <c r="A60" s="4" t="s">
        <v>79</v>
      </c>
      <c r="B60">
        <v>51247</v>
      </c>
      <c r="C60">
        <v>430905</v>
      </c>
      <c r="D60" s="6">
        <f t="shared" si="1"/>
        <v>0.11892876620136689</v>
      </c>
      <c r="G60" t="s">
        <v>79</v>
      </c>
      <c r="H60">
        <v>51247</v>
      </c>
      <c r="I60">
        <v>430905</v>
      </c>
      <c r="J60" s="6">
        <v>0.11892876620136689</v>
      </c>
      <c r="K60" s="6"/>
    </row>
    <row r="61" spans="1:11" x14ac:dyDescent="0.35">
      <c r="A61" s="4" t="s">
        <v>80</v>
      </c>
      <c r="B61">
        <v>22533</v>
      </c>
      <c r="C61">
        <v>150080</v>
      </c>
      <c r="D61" s="6">
        <f t="shared" si="1"/>
        <v>0.15013992537313434</v>
      </c>
      <c r="G61" t="s">
        <v>80</v>
      </c>
      <c r="H61">
        <v>22533</v>
      </c>
      <c r="I61">
        <v>150080</v>
      </c>
      <c r="J61" s="6">
        <v>0.15013992537313434</v>
      </c>
      <c r="K61" s="6"/>
    </row>
    <row r="62" spans="1:11" x14ac:dyDescent="0.35">
      <c r="A62" s="4" t="s">
        <v>58</v>
      </c>
      <c r="B62">
        <v>14</v>
      </c>
      <c r="C62">
        <v>321</v>
      </c>
      <c r="D62" s="6">
        <f t="shared" si="1"/>
        <v>4.3613707165109032E-2</v>
      </c>
      <c r="G62" t="s">
        <v>58</v>
      </c>
      <c r="H62">
        <v>14</v>
      </c>
      <c r="I62">
        <v>321</v>
      </c>
      <c r="J62" s="6">
        <v>4.3613707165109032E-2</v>
      </c>
      <c r="K62" s="6"/>
    </row>
    <row r="63" spans="1:11" x14ac:dyDescent="0.35">
      <c r="A63" s="4" t="s">
        <v>68</v>
      </c>
      <c r="B63">
        <v>13923</v>
      </c>
      <c r="C63">
        <v>327258</v>
      </c>
      <c r="D63" s="6">
        <f t="shared" si="1"/>
        <v>4.2544414498652441E-2</v>
      </c>
      <c r="G63" t="s">
        <v>68</v>
      </c>
      <c r="H63">
        <v>13923</v>
      </c>
      <c r="I63">
        <v>327258</v>
      </c>
      <c r="J63" s="6">
        <v>4.2544414498652441E-2</v>
      </c>
      <c r="K63" s="6"/>
    </row>
    <row r="64" spans="1:11" x14ac:dyDescent="0.35">
      <c r="A64" s="4" t="s">
        <v>81</v>
      </c>
      <c r="B64">
        <v>61823</v>
      </c>
      <c r="C64">
        <v>596326</v>
      </c>
      <c r="D64" s="6">
        <f t="shared" si="1"/>
        <v>0.10367315864141426</v>
      </c>
      <c r="G64" t="s">
        <v>81</v>
      </c>
      <c r="H64">
        <v>61823</v>
      </c>
      <c r="I64">
        <v>596326</v>
      </c>
      <c r="J64" s="6">
        <v>0.10367315864141426</v>
      </c>
      <c r="K64" s="6"/>
    </row>
    <row r="65" spans="1:11" x14ac:dyDescent="0.35">
      <c r="A65" s="4" t="s">
        <v>59</v>
      </c>
      <c r="B65">
        <v>39</v>
      </c>
      <c r="C65">
        <v>5786</v>
      </c>
      <c r="D65" s="6">
        <f t="shared" si="1"/>
        <v>6.7404078810922915E-3</v>
      </c>
      <c r="G65" t="s">
        <v>59</v>
      </c>
      <c r="H65">
        <v>39</v>
      </c>
      <c r="I65">
        <v>5786</v>
      </c>
      <c r="J65" s="6">
        <v>6.7404078810922915E-3</v>
      </c>
      <c r="K65" s="6"/>
    </row>
    <row r="66" spans="1:11" x14ac:dyDescent="0.35">
      <c r="A66" s="4" t="s">
        <v>60</v>
      </c>
      <c r="B66">
        <v>49</v>
      </c>
      <c r="C66">
        <v>9628</v>
      </c>
      <c r="D66" s="6">
        <f t="shared" si="1"/>
        <v>5.0893228084752801E-3</v>
      </c>
      <c r="G66" t="s">
        <v>60</v>
      </c>
      <c r="H66">
        <v>49</v>
      </c>
      <c r="I66">
        <v>9628</v>
      </c>
      <c r="J66" s="6">
        <v>5.0893228084752801E-3</v>
      </c>
      <c r="K66" s="6"/>
    </row>
    <row r="67" spans="1:11" x14ac:dyDescent="0.35">
      <c r="A67" s="4" t="s">
        <v>61</v>
      </c>
      <c r="B67">
        <v>138</v>
      </c>
      <c r="C67">
        <v>7420</v>
      </c>
      <c r="D67" s="6">
        <f t="shared" si="1"/>
        <v>1.8598382749326146E-2</v>
      </c>
      <c r="G67" t="s">
        <v>61</v>
      </c>
      <c r="H67">
        <v>138</v>
      </c>
      <c r="I67">
        <v>7420</v>
      </c>
      <c r="J67" s="6">
        <v>1.8598382749326146E-2</v>
      </c>
      <c r="K67" s="6"/>
    </row>
    <row r="68" spans="1:11" x14ac:dyDescent="0.35">
      <c r="A68" s="4" t="s">
        <v>62</v>
      </c>
      <c r="B68">
        <v>3</v>
      </c>
      <c r="C68">
        <v>5483</v>
      </c>
      <c r="D68" s="6">
        <f t="shared" si="1"/>
        <v>5.4714572314426405E-4</v>
      </c>
      <c r="G68" t="s">
        <v>62</v>
      </c>
      <c r="H68">
        <v>3</v>
      </c>
      <c r="I68">
        <v>5483</v>
      </c>
      <c r="J68" s="6">
        <v>5.4714572314426405E-4</v>
      </c>
      <c r="K68" s="6"/>
    </row>
    <row r="69" spans="1:11" x14ac:dyDescent="0.35">
      <c r="A69" s="4" t="s">
        <v>69</v>
      </c>
      <c r="B69">
        <v>7969</v>
      </c>
      <c r="C69">
        <v>124545</v>
      </c>
      <c r="D69" s="6">
        <f t="shared" si="1"/>
        <v>6.3984905054398009E-2</v>
      </c>
      <c r="G69" t="s">
        <v>69</v>
      </c>
      <c r="H69">
        <v>7969</v>
      </c>
      <c r="I69">
        <v>124545</v>
      </c>
      <c r="J69" s="6">
        <v>6.3984905054398009E-2</v>
      </c>
      <c r="K69" s="6"/>
    </row>
    <row r="70" spans="1:11" x14ac:dyDescent="0.35">
      <c r="A70" s="4" t="s">
        <v>63</v>
      </c>
      <c r="B70">
        <v>1202</v>
      </c>
      <c r="C70">
        <v>17503</v>
      </c>
      <c r="D70" s="6">
        <f t="shared" si="1"/>
        <v>6.8673941610009712E-2</v>
      </c>
      <c r="G70" t="s">
        <v>63</v>
      </c>
      <c r="H70">
        <v>1202</v>
      </c>
      <c r="I70">
        <v>17503</v>
      </c>
      <c r="J70" s="6">
        <v>6.8673941610009712E-2</v>
      </c>
      <c r="K70" s="6"/>
    </row>
    <row r="71" spans="1:11" x14ac:dyDescent="0.35">
      <c r="A71" s="4" t="s">
        <v>70</v>
      </c>
      <c r="B71">
        <v>3700</v>
      </c>
      <c r="C71">
        <v>147146</v>
      </c>
      <c r="D71" s="6">
        <f t="shared" si="1"/>
        <v>2.5145093988283747E-2</v>
      </c>
      <c r="G71" t="s">
        <v>70</v>
      </c>
      <c r="H71">
        <v>3700</v>
      </c>
      <c r="I71">
        <v>147146</v>
      </c>
      <c r="J71" s="6">
        <v>2.5145093988283747E-2</v>
      </c>
      <c r="K71" s="6"/>
    </row>
    <row r="72" spans="1:11" x14ac:dyDescent="0.35">
      <c r="A72" s="4" t="s">
        <v>82</v>
      </c>
      <c r="B72">
        <v>19018</v>
      </c>
      <c r="C72">
        <v>307390</v>
      </c>
      <c r="D72" s="6">
        <f t="shared" si="1"/>
        <v>6.1869286574059011E-2</v>
      </c>
      <c r="G72" t="s">
        <v>82</v>
      </c>
      <c r="H72">
        <v>19018</v>
      </c>
      <c r="I72">
        <v>307390</v>
      </c>
      <c r="J72" s="6">
        <v>6.1869286574059011E-2</v>
      </c>
      <c r="K72" s="6"/>
    </row>
    <row r="73" spans="1:11" x14ac:dyDescent="0.35">
      <c r="A73" s="4" t="s">
        <v>51</v>
      </c>
      <c r="B73">
        <v>0</v>
      </c>
      <c r="C73">
        <v>2568</v>
      </c>
      <c r="D73" s="6">
        <f t="shared" si="1"/>
        <v>0</v>
      </c>
      <c r="G73" t="s">
        <v>51</v>
      </c>
      <c r="H73">
        <v>0</v>
      </c>
      <c r="I73">
        <v>2568</v>
      </c>
      <c r="J73" s="6">
        <v>0</v>
      </c>
      <c r="K73" s="6"/>
    </row>
    <row r="74" spans="1:11" x14ac:dyDescent="0.35">
      <c r="A74" s="4" t="s">
        <v>83</v>
      </c>
      <c r="B74">
        <v>31547</v>
      </c>
      <c r="C74">
        <v>495075</v>
      </c>
      <c r="D74" s="6">
        <f t="shared" si="1"/>
        <v>6.3721658334595768E-2</v>
      </c>
      <c r="G74" t="s">
        <v>83</v>
      </c>
      <c r="H74">
        <v>31547</v>
      </c>
      <c r="I74">
        <v>495075</v>
      </c>
      <c r="J74" s="6">
        <v>6.3721658334595768E-2</v>
      </c>
      <c r="K74" s="6"/>
    </row>
    <row r="75" spans="1:11" x14ac:dyDescent="0.35">
      <c r="A75" s="4" t="s">
        <v>64</v>
      </c>
      <c r="B75">
        <v>78</v>
      </c>
      <c r="C75">
        <v>11622</v>
      </c>
      <c r="D75" s="6">
        <f t="shared" si="1"/>
        <v>6.7114093959731542E-3</v>
      </c>
      <c r="G75" t="s">
        <v>64</v>
      </c>
      <c r="H75">
        <v>78</v>
      </c>
      <c r="I75">
        <v>11622</v>
      </c>
      <c r="J75" s="6">
        <v>6.7114093959731542E-3</v>
      </c>
      <c r="K75" s="6"/>
    </row>
    <row r="76" spans="1:11" x14ac:dyDescent="0.35">
      <c r="A76" s="4" t="s">
        <v>84</v>
      </c>
      <c r="B76">
        <v>21206</v>
      </c>
      <c r="C76">
        <v>714658</v>
      </c>
      <c r="D76" s="6">
        <f t="shared" si="1"/>
        <v>2.9672934466556031E-2</v>
      </c>
      <c r="G76" t="s">
        <v>84</v>
      </c>
      <c r="H76">
        <v>21206</v>
      </c>
      <c r="I76">
        <v>714658</v>
      </c>
      <c r="J76" s="6">
        <v>2.9672934466556031E-2</v>
      </c>
      <c r="K76" s="6"/>
    </row>
    <row r="77" spans="1:11" x14ac:dyDescent="0.35">
      <c r="A77" s="4" t="s">
        <v>71</v>
      </c>
      <c r="B77">
        <v>1707</v>
      </c>
      <c r="C77">
        <v>53903</v>
      </c>
      <c r="D77" s="6">
        <f t="shared" si="1"/>
        <v>3.1667996215424002E-2</v>
      </c>
      <c r="G77" t="s">
        <v>71</v>
      </c>
      <c r="H77">
        <v>1707</v>
      </c>
      <c r="I77">
        <v>53903</v>
      </c>
      <c r="J77" s="6">
        <v>3.1667996215424002E-2</v>
      </c>
      <c r="K77" s="6"/>
    </row>
    <row r="78" spans="1:11" x14ac:dyDescent="0.35">
      <c r="A78" s="4" t="s">
        <v>85</v>
      </c>
      <c r="B78">
        <v>6000</v>
      </c>
      <c r="C78">
        <v>243149</v>
      </c>
      <c r="D78" s="6">
        <f t="shared" si="1"/>
        <v>2.4676227333857017E-2</v>
      </c>
      <c r="G78" t="s">
        <v>85</v>
      </c>
      <c r="H78">
        <v>6000</v>
      </c>
      <c r="I78">
        <v>243149</v>
      </c>
      <c r="J78" s="6">
        <v>2.4676227333857017E-2</v>
      </c>
      <c r="K78" s="6"/>
    </row>
    <row r="79" spans="1:11" x14ac:dyDescent="0.35">
      <c r="A79" s="4" t="s">
        <v>87</v>
      </c>
      <c r="B79">
        <v>316705</v>
      </c>
      <c r="C79">
        <v>5356471</v>
      </c>
      <c r="D79" s="6">
        <f t="shared" si="1"/>
        <v>5.9125681815508757E-2</v>
      </c>
    </row>
  </sheetData>
  <sortState xmlns:xlrd2="http://schemas.microsoft.com/office/spreadsheetml/2017/richdata2" ref="L4:O37">
    <sortCondition ref="O4:O37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F52C-0C0A-4317-9D1C-2B4176BF4EA0}">
  <dimension ref="F9:L15"/>
  <sheetViews>
    <sheetView workbookViewId="0">
      <selection activeCell="A2" sqref="A2:XFD2"/>
    </sheetView>
  </sheetViews>
  <sheetFormatPr defaultRowHeight="14.5" x14ac:dyDescent="0.35"/>
  <cols>
    <col min="8" max="8" width="13.54296875" bestFit="1" customWidth="1"/>
    <col min="9" max="9" width="19.6328125" bestFit="1" customWidth="1"/>
    <col min="10" max="10" width="9.54296875" bestFit="1" customWidth="1"/>
    <col min="11" max="11" width="11" bestFit="1" customWidth="1"/>
  </cols>
  <sheetData>
    <row r="9" spans="6:12" x14ac:dyDescent="0.35">
      <c r="F9" s="25" t="s">
        <v>119</v>
      </c>
      <c r="G9" s="25"/>
      <c r="H9" s="25"/>
      <c r="I9" s="25"/>
      <c r="J9" s="25"/>
      <c r="K9" s="25"/>
      <c r="L9" s="25"/>
    </row>
    <row r="10" spans="6:12" x14ac:dyDescent="0.35">
      <c r="F10" s="5"/>
      <c r="G10" s="26" t="s">
        <v>117</v>
      </c>
      <c r="H10" s="27"/>
      <c r="I10" s="27"/>
      <c r="J10" s="27"/>
      <c r="K10" s="27"/>
      <c r="L10" s="28"/>
    </row>
    <row r="11" spans="6:12" x14ac:dyDescent="0.35">
      <c r="F11" s="5" t="s">
        <v>116</v>
      </c>
      <c r="G11" s="5" t="s">
        <v>25</v>
      </c>
      <c r="H11" s="5" t="s">
        <v>34</v>
      </c>
      <c r="I11" s="5" t="s">
        <v>33</v>
      </c>
      <c r="J11" s="5" t="s">
        <v>32</v>
      </c>
      <c r="K11" s="5" t="s">
        <v>31</v>
      </c>
      <c r="L11" s="5" t="s">
        <v>118</v>
      </c>
    </row>
    <row r="12" spans="6:12" x14ac:dyDescent="0.35">
      <c r="F12" s="5" t="s">
        <v>14</v>
      </c>
      <c r="G12" s="5">
        <v>487</v>
      </c>
      <c r="H12" s="5">
        <v>392</v>
      </c>
      <c r="I12" s="5">
        <v>13286</v>
      </c>
      <c r="J12" s="5">
        <v>2309</v>
      </c>
      <c r="K12" s="5">
        <v>13953</v>
      </c>
      <c r="L12" s="5">
        <f>SUM(G12:K12)</f>
        <v>30427</v>
      </c>
    </row>
    <row r="13" spans="6:12" x14ac:dyDescent="0.35">
      <c r="F13" s="5" t="s">
        <v>15</v>
      </c>
      <c r="G13" s="5">
        <v>423</v>
      </c>
      <c r="H13" s="5">
        <v>579</v>
      </c>
      <c r="I13" s="5">
        <v>9670</v>
      </c>
      <c r="J13" s="5">
        <v>3957</v>
      </c>
      <c r="K13" s="5">
        <v>18581</v>
      </c>
      <c r="L13" s="5">
        <f>SUM(G13:K13)</f>
        <v>33210</v>
      </c>
    </row>
    <row r="14" spans="6:12" x14ac:dyDescent="0.35">
      <c r="F14" s="5" t="s">
        <v>16</v>
      </c>
      <c r="G14" s="5">
        <v>454</v>
      </c>
      <c r="H14" s="5">
        <v>586</v>
      </c>
      <c r="I14" s="5">
        <v>9025</v>
      </c>
      <c r="J14" s="5">
        <v>3766</v>
      </c>
      <c r="K14" s="5">
        <v>23678</v>
      </c>
      <c r="L14" s="5">
        <f>SUM(G14:K14)</f>
        <v>37509</v>
      </c>
    </row>
    <row r="15" spans="6:12" x14ac:dyDescent="0.35">
      <c r="F15" s="5" t="s">
        <v>17</v>
      </c>
      <c r="G15" s="5">
        <v>1055</v>
      </c>
      <c r="H15" s="5">
        <v>519</v>
      </c>
      <c r="I15" s="5">
        <v>9212</v>
      </c>
      <c r="J15" s="5">
        <v>3721</v>
      </c>
      <c r="K15" s="5">
        <v>32723</v>
      </c>
      <c r="L15" s="5">
        <f>SUM(G15:K15)</f>
        <v>47230</v>
      </c>
    </row>
  </sheetData>
  <mergeCells count="2">
    <mergeCell ref="F9:L9"/>
    <mergeCell ref="G10:L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E76D-66AC-4685-A6B2-8CCB60272821}">
  <dimension ref="A1:G19"/>
  <sheetViews>
    <sheetView workbookViewId="0">
      <selection activeCell="D20" sqref="D20"/>
    </sheetView>
  </sheetViews>
  <sheetFormatPr defaultRowHeight="14.5" x14ac:dyDescent="0.35"/>
  <cols>
    <col min="1" max="1" width="25.453125" bestFit="1" customWidth="1"/>
    <col min="2" max="2" width="15.26953125" bestFit="1" customWidth="1"/>
    <col min="3" max="3" width="13.6328125" bestFit="1" customWidth="1"/>
    <col min="4" max="4" width="19.7265625" bestFit="1" customWidth="1"/>
    <col min="5" max="5" width="9.6328125" bestFit="1" customWidth="1"/>
    <col min="6" max="6" width="11.1796875" bestFit="1" customWidth="1"/>
    <col min="7" max="7" width="10.7265625" bestFit="1" customWidth="1"/>
    <col min="8" max="8" width="9.6328125" bestFit="1" customWidth="1"/>
    <col min="9" max="9" width="15.36328125" bestFit="1" customWidth="1"/>
    <col min="10" max="10" width="11.1796875" bestFit="1" customWidth="1"/>
    <col min="11" max="11" width="14.81640625" bestFit="1" customWidth="1"/>
    <col min="12" max="12" width="10.7265625" bestFit="1" customWidth="1"/>
  </cols>
  <sheetData>
    <row r="1" spans="1:7" x14ac:dyDescent="0.35">
      <c r="A1" s="3" t="s">
        <v>18</v>
      </c>
      <c r="B1" t="s" vm="2">
        <v>24</v>
      </c>
    </row>
    <row r="2" spans="1:7" x14ac:dyDescent="0.35">
      <c r="A2" s="3" t="s">
        <v>12</v>
      </c>
      <c r="B2" t="s" vm="1">
        <v>114</v>
      </c>
    </row>
    <row r="4" spans="1:7" x14ac:dyDescent="0.35">
      <c r="A4" s="3" t="s">
        <v>88</v>
      </c>
      <c r="B4" s="3" t="s">
        <v>113</v>
      </c>
    </row>
    <row r="5" spans="1:7" x14ac:dyDescent="0.35">
      <c r="A5" s="3" t="s">
        <v>86</v>
      </c>
      <c r="B5" t="s">
        <v>25</v>
      </c>
      <c r="C5" t="s">
        <v>34</v>
      </c>
      <c r="D5" t="s">
        <v>33</v>
      </c>
      <c r="E5" t="s">
        <v>32</v>
      </c>
      <c r="F5" t="s">
        <v>31</v>
      </c>
      <c r="G5" t="s">
        <v>87</v>
      </c>
    </row>
    <row r="6" spans="1:7" x14ac:dyDescent="0.35">
      <c r="A6" s="4" t="s">
        <v>14</v>
      </c>
      <c r="B6">
        <v>487</v>
      </c>
      <c r="C6">
        <v>392</v>
      </c>
      <c r="D6">
        <v>13286</v>
      </c>
      <c r="E6">
        <v>2309</v>
      </c>
      <c r="F6">
        <v>13953</v>
      </c>
      <c r="G6">
        <v>30427</v>
      </c>
    </row>
    <row r="7" spans="1:7" x14ac:dyDescent="0.35">
      <c r="A7" s="4" t="s">
        <v>15</v>
      </c>
      <c r="B7">
        <v>423</v>
      </c>
      <c r="C7">
        <v>579</v>
      </c>
      <c r="D7">
        <v>9670</v>
      </c>
      <c r="E7">
        <v>3957</v>
      </c>
      <c r="F7">
        <v>18581</v>
      </c>
      <c r="G7">
        <v>33210</v>
      </c>
    </row>
    <row r="8" spans="1:7" x14ac:dyDescent="0.35">
      <c r="A8" s="4" t="s">
        <v>16</v>
      </c>
      <c r="B8">
        <v>454</v>
      </c>
      <c r="C8">
        <v>586</v>
      </c>
      <c r="D8">
        <v>9025</v>
      </c>
      <c r="E8">
        <v>3766</v>
      </c>
      <c r="F8">
        <v>23678</v>
      </c>
      <c r="G8">
        <v>37509</v>
      </c>
    </row>
    <row r="9" spans="1:7" x14ac:dyDescent="0.35">
      <c r="A9" s="4" t="s">
        <v>17</v>
      </c>
      <c r="B9">
        <v>1055</v>
      </c>
      <c r="C9">
        <v>519</v>
      </c>
      <c r="D9">
        <v>9212</v>
      </c>
      <c r="E9">
        <v>3721</v>
      </c>
      <c r="F9">
        <v>32723</v>
      </c>
      <c r="G9">
        <v>47230</v>
      </c>
    </row>
    <row r="10" spans="1:7" x14ac:dyDescent="0.35">
      <c r="A10" s="4" t="s">
        <v>87</v>
      </c>
      <c r="B10">
        <v>2419</v>
      </c>
      <c r="C10">
        <v>2076</v>
      </c>
      <c r="D10">
        <v>41193</v>
      </c>
      <c r="E10">
        <v>13753</v>
      </c>
      <c r="F10">
        <v>88935</v>
      </c>
      <c r="G10">
        <v>148376</v>
      </c>
    </row>
    <row r="13" spans="1:7" x14ac:dyDescent="0.35">
      <c r="A13" t="s">
        <v>14</v>
      </c>
      <c r="B13">
        <v>487</v>
      </c>
      <c r="C13">
        <v>392</v>
      </c>
      <c r="D13">
        <v>13286</v>
      </c>
      <c r="E13">
        <v>2309</v>
      </c>
      <c r="F13">
        <v>13953</v>
      </c>
    </row>
    <row r="14" spans="1:7" x14ac:dyDescent="0.35">
      <c r="A14" t="s">
        <v>15</v>
      </c>
      <c r="B14">
        <v>423</v>
      </c>
      <c r="C14">
        <v>579</v>
      </c>
      <c r="D14">
        <v>9670</v>
      </c>
      <c r="E14">
        <v>3957</v>
      </c>
      <c r="F14">
        <v>18581</v>
      </c>
    </row>
    <row r="15" spans="1:7" x14ac:dyDescent="0.35">
      <c r="A15" t="s">
        <v>16</v>
      </c>
      <c r="B15">
        <v>454</v>
      </c>
      <c r="C15">
        <v>586</v>
      </c>
      <c r="D15">
        <v>9025</v>
      </c>
      <c r="E15">
        <v>3766</v>
      </c>
      <c r="F15">
        <v>23678</v>
      </c>
    </row>
    <row r="16" spans="1:7" x14ac:dyDescent="0.35">
      <c r="A16" t="s">
        <v>17</v>
      </c>
      <c r="B16">
        <v>1055</v>
      </c>
      <c r="C16">
        <v>519</v>
      </c>
      <c r="D16">
        <v>9212</v>
      </c>
      <c r="E16">
        <v>3721</v>
      </c>
      <c r="F16">
        <v>32723</v>
      </c>
    </row>
    <row r="19" spans="3:3" x14ac:dyDescent="0.35">
      <c r="C19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6A1D2-57A5-4C06-83FE-FB83705E78B5}">
  <dimension ref="G8:I13"/>
  <sheetViews>
    <sheetView topLeftCell="A3" workbookViewId="0">
      <selection activeCell="E12" sqref="E12"/>
    </sheetView>
  </sheetViews>
  <sheetFormatPr defaultRowHeight="14.5" x14ac:dyDescent="0.35"/>
  <cols>
    <col min="7" max="7" width="16.1796875" bestFit="1" customWidth="1"/>
    <col min="8" max="8" width="10.08984375" customWidth="1"/>
    <col min="9" max="9" width="14.36328125" customWidth="1"/>
  </cols>
  <sheetData>
    <row r="8" spans="7:9" x14ac:dyDescent="0.35">
      <c r="G8" s="25" t="s">
        <v>122</v>
      </c>
      <c r="H8" s="25"/>
      <c r="I8" s="25"/>
    </row>
    <row r="9" spans="7:9" x14ac:dyDescent="0.35">
      <c r="G9" s="29" t="s">
        <v>121</v>
      </c>
      <c r="H9" s="29"/>
      <c r="I9" s="29"/>
    </row>
    <row r="10" spans="7:9" x14ac:dyDescent="0.35">
      <c r="G10" s="5"/>
      <c r="H10" s="5" t="s">
        <v>67</v>
      </c>
      <c r="I10" s="5" t="s">
        <v>79</v>
      </c>
    </row>
    <row r="11" spans="7:9" x14ac:dyDescent="0.35">
      <c r="G11" s="5" t="s">
        <v>106</v>
      </c>
      <c r="H11" s="5">
        <v>13277</v>
      </c>
      <c r="I11" s="5">
        <v>51247</v>
      </c>
    </row>
    <row r="12" spans="7:9" x14ac:dyDescent="0.35">
      <c r="G12" s="5" t="s">
        <v>120</v>
      </c>
      <c r="H12" s="5">
        <v>155839</v>
      </c>
      <c r="I12" s="5">
        <v>430905</v>
      </c>
    </row>
    <row r="13" spans="7:9" x14ac:dyDescent="0.35">
      <c r="G13" s="5" t="s">
        <v>105</v>
      </c>
      <c r="H13" s="7">
        <v>8.5196901930838884E-2</v>
      </c>
      <c r="I13" s="7">
        <v>0.11892876620136689</v>
      </c>
    </row>
  </sheetData>
  <mergeCells count="2">
    <mergeCell ref="G9:I9"/>
    <mergeCell ref="G8:I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D09BB-2776-43AD-BE5E-9260530BC919}">
  <dimension ref="A1:C12"/>
  <sheetViews>
    <sheetView workbookViewId="0">
      <selection sqref="A1:C6"/>
    </sheetView>
  </sheetViews>
  <sheetFormatPr defaultRowHeight="14.5" x14ac:dyDescent="0.35"/>
  <cols>
    <col min="1" max="1" width="16.1796875" bestFit="1" customWidth="1"/>
    <col min="2" max="2" width="25.453125" bestFit="1" customWidth="1"/>
    <col min="3" max="3" width="23.36328125" bestFit="1" customWidth="1"/>
  </cols>
  <sheetData>
    <row r="1" spans="1:3" x14ac:dyDescent="0.35">
      <c r="A1" s="3" t="s">
        <v>92</v>
      </c>
      <c r="B1" t="s">
        <v>91</v>
      </c>
    </row>
    <row r="3" spans="1:3" x14ac:dyDescent="0.35">
      <c r="A3" s="3" t="s">
        <v>86</v>
      </c>
      <c r="B3" t="s">
        <v>88</v>
      </c>
      <c r="C3" t="s">
        <v>102</v>
      </c>
    </row>
    <row r="4" spans="1:3" x14ac:dyDescent="0.35">
      <c r="A4" s="4" t="s">
        <v>67</v>
      </c>
      <c r="B4">
        <v>13277</v>
      </c>
      <c r="C4">
        <v>155839</v>
      </c>
    </row>
    <row r="5" spans="1:3" x14ac:dyDescent="0.35">
      <c r="A5" s="4" t="s">
        <v>79</v>
      </c>
      <c r="B5">
        <v>51247</v>
      </c>
      <c r="C5">
        <v>430905</v>
      </c>
    </row>
    <row r="6" spans="1:3" x14ac:dyDescent="0.35">
      <c r="A6" s="4" t="s">
        <v>87</v>
      </c>
      <c r="B6">
        <v>64524</v>
      </c>
      <c r="C6">
        <v>586744</v>
      </c>
    </row>
    <row r="9" spans="1:3" x14ac:dyDescent="0.35">
      <c r="B9" t="str">
        <f>A4</f>
        <v>Delhi</v>
      </c>
      <c r="C9" t="str">
        <f>A5</f>
        <v>Karnataka</v>
      </c>
    </row>
    <row r="10" spans="1:3" x14ac:dyDescent="0.35">
      <c r="A10" t="s">
        <v>106</v>
      </c>
      <c r="B10">
        <f>B4</f>
        <v>13277</v>
      </c>
      <c r="C10">
        <f>B5</f>
        <v>51247</v>
      </c>
    </row>
    <row r="11" spans="1:3" x14ac:dyDescent="0.35">
      <c r="A11" t="s">
        <v>120</v>
      </c>
      <c r="B11">
        <f>C4</f>
        <v>155839</v>
      </c>
      <c r="C11">
        <f>C5</f>
        <v>430905</v>
      </c>
    </row>
    <row r="12" spans="1:3" x14ac:dyDescent="0.35">
      <c r="A12" t="s">
        <v>105</v>
      </c>
      <c r="B12" s="6">
        <f>B10/B11</f>
        <v>8.5196901930838884E-2</v>
      </c>
      <c r="C12" s="6">
        <f>C10/C11</f>
        <v>0.11892876620136689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FE64F-156E-41C7-8897-68A2C5E35BB7}">
  <dimension ref="I8:K14"/>
  <sheetViews>
    <sheetView topLeftCell="B1" workbookViewId="0">
      <selection activeCell="I20" sqref="I20"/>
    </sheetView>
  </sheetViews>
  <sheetFormatPr defaultRowHeight="14.5" x14ac:dyDescent="0.35"/>
  <cols>
    <col min="10" max="10" width="17.1796875" bestFit="1" customWidth="1"/>
  </cols>
  <sheetData>
    <row r="8" spans="9:11" x14ac:dyDescent="0.35">
      <c r="I8" s="25" t="s">
        <v>124</v>
      </c>
      <c r="J8" s="25"/>
      <c r="K8" s="25"/>
    </row>
    <row r="9" spans="9:11" x14ac:dyDescent="0.35">
      <c r="I9" s="5" t="s">
        <v>93</v>
      </c>
      <c r="J9" s="5" t="s">
        <v>94</v>
      </c>
      <c r="K9" s="5" t="s">
        <v>123</v>
      </c>
    </row>
    <row r="10" spans="9:11" x14ac:dyDescent="0.35">
      <c r="I10" s="5">
        <v>1</v>
      </c>
      <c r="J10" s="5" t="s">
        <v>28</v>
      </c>
      <c r="K10" s="7">
        <v>1.1540659228538015</v>
      </c>
    </row>
    <row r="11" spans="9:11" x14ac:dyDescent="0.35">
      <c r="I11" s="5">
        <v>2</v>
      </c>
      <c r="J11" s="5" t="s">
        <v>27</v>
      </c>
      <c r="K11" s="7">
        <v>0.5070456000658925</v>
      </c>
    </row>
    <row r="12" spans="9:11" x14ac:dyDescent="0.35">
      <c r="I12" s="5">
        <v>3</v>
      </c>
      <c r="J12" s="5" t="s">
        <v>30</v>
      </c>
      <c r="K12" s="7">
        <v>0.36626010212794635</v>
      </c>
    </row>
    <row r="13" spans="9:11" x14ac:dyDescent="0.35">
      <c r="I13" s="5">
        <v>4</v>
      </c>
      <c r="J13" s="5" t="s">
        <v>25</v>
      </c>
      <c r="K13" s="7">
        <v>0.10263569283994256</v>
      </c>
    </row>
    <row r="14" spans="9:11" x14ac:dyDescent="0.35">
      <c r="I14" s="5">
        <v>5</v>
      </c>
      <c r="J14" s="5" t="s">
        <v>32</v>
      </c>
      <c r="K14" s="7">
        <v>2.7402333828162817E-2</v>
      </c>
    </row>
  </sheetData>
  <mergeCells count="1">
    <mergeCell ref="I8:K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A4810-6960-4971-9049-CF1A7BB44FA2}">
  <dimension ref="A1:L30"/>
  <sheetViews>
    <sheetView workbookViewId="0">
      <selection activeCell="A4" sqref="A4"/>
    </sheetView>
  </sheetViews>
  <sheetFormatPr defaultRowHeight="14.5" x14ac:dyDescent="0.35"/>
  <cols>
    <col min="1" max="1" width="25.453125" bestFit="1" customWidth="1"/>
    <col min="2" max="2" width="15.26953125" bestFit="1" customWidth="1"/>
    <col min="3" max="3" width="5.81640625" bestFit="1" customWidth="1"/>
    <col min="4" max="4" width="10.7265625" bestFit="1" customWidth="1"/>
    <col min="5" max="5" width="6.81640625" bestFit="1" customWidth="1"/>
    <col min="6" max="6" width="10.7265625" bestFit="1" customWidth="1"/>
    <col min="9" max="9" width="19.6328125" bestFit="1" customWidth="1"/>
    <col min="10" max="10" width="5.81640625" bestFit="1" customWidth="1"/>
  </cols>
  <sheetData>
    <row r="1" spans="1:12" x14ac:dyDescent="0.35">
      <c r="A1" s="3" t="s">
        <v>18</v>
      </c>
      <c r="B1" t="s">
        <v>24</v>
      </c>
    </row>
    <row r="3" spans="1:12" x14ac:dyDescent="0.35">
      <c r="A3" s="3" t="s">
        <v>88</v>
      </c>
      <c r="B3" s="3" t="s">
        <v>113</v>
      </c>
    </row>
    <row r="4" spans="1:12" x14ac:dyDescent="0.35">
      <c r="A4" s="3" t="s">
        <v>86</v>
      </c>
      <c r="B4" t="s">
        <v>89</v>
      </c>
      <c r="C4" t="s">
        <v>91</v>
      </c>
      <c r="D4" t="s">
        <v>87</v>
      </c>
      <c r="I4" t="s">
        <v>117</v>
      </c>
      <c r="J4">
        <v>2022</v>
      </c>
      <c r="K4">
        <v>2024</v>
      </c>
      <c r="L4" t="s">
        <v>123</v>
      </c>
    </row>
    <row r="5" spans="1:12" x14ac:dyDescent="0.35">
      <c r="A5" s="4" t="s">
        <v>27</v>
      </c>
      <c r="B5">
        <v>118</v>
      </c>
      <c r="C5">
        <v>268</v>
      </c>
      <c r="D5">
        <v>386</v>
      </c>
      <c r="F5" s="6">
        <f>(C5/B5)^(1/2)-1</f>
        <v>0.5070456000658925</v>
      </c>
      <c r="I5" t="s">
        <v>26</v>
      </c>
      <c r="J5">
        <v>0</v>
      </c>
      <c r="K5">
        <v>217</v>
      </c>
      <c r="L5" s="6" t="e">
        <v>#DIV/0!</v>
      </c>
    </row>
    <row r="6" spans="1:12" x14ac:dyDescent="0.35">
      <c r="A6" s="4" t="s">
        <v>25</v>
      </c>
      <c r="B6">
        <v>329</v>
      </c>
      <c r="C6">
        <v>400</v>
      </c>
      <c r="D6">
        <v>729</v>
      </c>
      <c r="F6" s="6">
        <f t="shared" ref="F6:F14" si="0">(C6/B6)^(1/2)-1</f>
        <v>0.10263569283994256</v>
      </c>
      <c r="I6" t="s">
        <v>28</v>
      </c>
      <c r="J6">
        <v>25</v>
      </c>
      <c r="K6">
        <v>116</v>
      </c>
      <c r="L6" s="6">
        <v>1.1540659228538015</v>
      </c>
    </row>
    <row r="7" spans="1:12" x14ac:dyDescent="0.35">
      <c r="A7" s="4" t="s">
        <v>34</v>
      </c>
      <c r="B7">
        <v>447</v>
      </c>
      <c r="C7">
        <v>338</v>
      </c>
      <c r="D7">
        <v>785</v>
      </c>
      <c r="F7" s="6">
        <f t="shared" si="0"/>
        <v>-0.13042991928215353</v>
      </c>
      <c r="I7" t="s">
        <v>27</v>
      </c>
      <c r="J7">
        <v>118</v>
      </c>
      <c r="K7">
        <v>268</v>
      </c>
      <c r="L7" s="6">
        <v>0.5070456000658925</v>
      </c>
    </row>
    <row r="8" spans="1:12" x14ac:dyDescent="0.35">
      <c r="A8" s="4" t="s">
        <v>29</v>
      </c>
      <c r="B8">
        <v>155</v>
      </c>
      <c r="C8">
        <v>72</v>
      </c>
      <c r="D8">
        <v>227</v>
      </c>
      <c r="F8" s="6">
        <f t="shared" si="0"/>
        <v>-0.3184457989035222</v>
      </c>
      <c r="I8" t="s">
        <v>30</v>
      </c>
      <c r="J8">
        <v>45</v>
      </c>
      <c r="K8">
        <v>84</v>
      </c>
      <c r="L8" s="6">
        <v>0.36626010212794635</v>
      </c>
    </row>
    <row r="9" spans="1:12" x14ac:dyDescent="0.35">
      <c r="A9" s="4" t="s">
        <v>33</v>
      </c>
      <c r="B9">
        <v>10215</v>
      </c>
      <c r="C9">
        <v>2316</v>
      </c>
      <c r="D9">
        <v>12531</v>
      </c>
      <c r="F9" s="6">
        <f t="shared" si="0"/>
        <v>-0.52384308907890997</v>
      </c>
      <c r="I9" t="s">
        <v>25</v>
      </c>
      <c r="J9">
        <v>329</v>
      </c>
      <c r="K9">
        <v>400</v>
      </c>
      <c r="L9" s="6">
        <v>0.10263569283994256</v>
      </c>
    </row>
    <row r="10" spans="1:12" x14ac:dyDescent="0.35">
      <c r="A10" s="4" t="s">
        <v>30</v>
      </c>
      <c r="B10">
        <v>45</v>
      </c>
      <c r="C10">
        <v>84</v>
      </c>
      <c r="D10">
        <v>129</v>
      </c>
      <c r="F10" s="6">
        <f t="shared" si="0"/>
        <v>0.36626010212794635</v>
      </c>
      <c r="I10" t="s">
        <v>32</v>
      </c>
      <c r="J10">
        <v>2484</v>
      </c>
      <c r="K10">
        <v>2622</v>
      </c>
      <c r="L10" s="6">
        <v>2.7402333828162817E-2</v>
      </c>
    </row>
    <row r="11" spans="1:12" x14ac:dyDescent="0.35">
      <c r="A11" s="4" t="s">
        <v>32</v>
      </c>
      <c r="B11">
        <v>2484</v>
      </c>
      <c r="C11">
        <v>2622</v>
      </c>
      <c r="D11">
        <v>5106</v>
      </c>
      <c r="F11" s="6">
        <f t="shared" si="0"/>
        <v>2.7402333828162817E-2</v>
      </c>
      <c r="I11" t="s">
        <v>34</v>
      </c>
      <c r="J11">
        <v>447</v>
      </c>
      <c r="K11">
        <v>338</v>
      </c>
      <c r="L11" s="6">
        <v>-0.13042991928215353</v>
      </c>
    </row>
    <row r="12" spans="1:12" x14ac:dyDescent="0.35">
      <c r="A12" s="4" t="s">
        <v>26</v>
      </c>
      <c r="B12">
        <v>0</v>
      </c>
      <c r="C12">
        <v>217</v>
      </c>
      <c r="D12">
        <v>217</v>
      </c>
      <c r="F12" s="6" t="e">
        <f t="shared" si="0"/>
        <v>#DIV/0!</v>
      </c>
      <c r="I12" t="s">
        <v>31</v>
      </c>
      <c r="J12">
        <v>24352</v>
      </c>
      <c r="K12">
        <v>17361</v>
      </c>
      <c r="L12" s="6">
        <v>-0.15565477631041735</v>
      </c>
    </row>
    <row r="13" spans="1:12" x14ac:dyDescent="0.35">
      <c r="A13" s="4" t="s">
        <v>31</v>
      </c>
      <c r="B13">
        <v>24352</v>
      </c>
      <c r="C13">
        <v>17361</v>
      </c>
      <c r="D13">
        <v>41713</v>
      </c>
      <c r="F13" s="6">
        <f t="shared" si="0"/>
        <v>-0.15565477631041735</v>
      </c>
      <c r="I13" t="s">
        <v>29</v>
      </c>
      <c r="J13">
        <v>155</v>
      </c>
      <c r="K13">
        <v>72</v>
      </c>
      <c r="L13" s="6">
        <v>-0.3184457989035222</v>
      </c>
    </row>
    <row r="14" spans="1:12" x14ac:dyDescent="0.35">
      <c r="A14" s="4" t="s">
        <v>28</v>
      </c>
      <c r="B14">
        <v>25</v>
      </c>
      <c r="C14">
        <v>116</v>
      </c>
      <c r="D14">
        <v>141</v>
      </c>
      <c r="F14" s="6">
        <f t="shared" si="0"/>
        <v>1.1540659228538015</v>
      </c>
      <c r="I14" t="s">
        <v>33</v>
      </c>
      <c r="J14">
        <v>10215</v>
      </c>
      <c r="K14">
        <v>2316</v>
      </c>
      <c r="L14" s="6">
        <v>-0.52384308907890997</v>
      </c>
    </row>
    <row r="15" spans="1:12" x14ac:dyDescent="0.35">
      <c r="A15" s="4" t="s">
        <v>87</v>
      </c>
      <c r="B15">
        <v>38170</v>
      </c>
      <c r="C15">
        <v>23794</v>
      </c>
      <c r="D15">
        <v>61964</v>
      </c>
      <c r="F15" s="6"/>
      <c r="L15" s="6"/>
    </row>
    <row r="16" spans="1:12" x14ac:dyDescent="0.35">
      <c r="F16" s="6"/>
      <c r="L16" s="6"/>
    </row>
    <row r="17" spans="6:12" x14ac:dyDescent="0.35">
      <c r="F17" s="6"/>
      <c r="L17" s="6"/>
    </row>
    <row r="18" spans="6:12" x14ac:dyDescent="0.35">
      <c r="F18" s="6"/>
      <c r="L18" s="6"/>
    </row>
    <row r="19" spans="6:12" x14ac:dyDescent="0.35">
      <c r="F19" s="6"/>
      <c r="L19" s="6"/>
    </row>
    <row r="20" spans="6:12" x14ac:dyDescent="0.35">
      <c r="F20" s="6"/>
      <c r="L20" s="6"/>
    </row>
    <row r="21" spans="6:12" x14ac:dyDescent="0.35">
      <c r="F21" s="6"/>
      <c r="L21" s="6"/>
    </row>
    <row r="22" spans="6:12" x14ac:dyDescent="0.35">
      <c r="F22" s="6"/>
      <c r="L22" s="6"/>
    </row>
    <row r="23" spans="6:12" x14ac:dyDescent="0.35">
      <c r="F23" s="6"/>
      <c r="L23" s="6"/>
    </row>
    <row r="24" spans="6:12" x14ac:dyDescent="0.35">
      <c r="F24" s="6"/>
      <c r="L24" s="6"/>
    </row>
    <row r="25" spans="6:12" x14ac:dyDescent="0.35">
      <c r="F25" s="6"/>
      <c r="L25" s="6"/>
    </row>
    <row r="26" spans="6:12" x14ac:dyDescent="0.35">
      <c r="F26" s="6"/>
      <c r="L26" s="6"/>
    </row>
    <row r="27" spans="6:12" x14ac:dyDescent="0.35">
      <c r="F27" s="6"/>
      <c r="L27" s="6"/>
    </row>
    <row r="28" spans="6:12" x14ac:dyDescent="0.35">
      <c r="F28" s="6"/>
      <c r="L28" s="6"/>
    </row>
    <row r="29" spans="6:12" x14ac:dyDescent="0.35">
      <c r="F29" s="6"/>
      <c r="L29" s="6"/>
    </row>
    <row r="30" spans="6:12" x14ac:dyDescent="0.35">
      <c r="F30" s="6"/>
      <c r="L30" s="6"/>
    </row>
  </sheetData>
  <sortState xmlns:xlrd2="http://schemas.microsoft.com/office/spreadsheetml/2017/richdata2" ref="I5:L14">
    <sortCondition descending="1" ref="L5:L14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CF57-40BB-4264-9F99-6005074E4BDA}">
  <dimension ref="G6:I17"/>
  <sheetViews>
    <sheetView workbookViewId="0">
      <selection activeCell="F19" sqref="F19"/>
    </sheetView>
  </sheetViews>
  <sheetFormatPr defaultRowHeight="14.5" x14ac:dyDescent="0.35"/>
  <cols>
    <col min="7" max="7" width="10.453125" customWidth="1"/>
    <col min="8" max="8" width="26.6328125" customWidth="1"/>
    <col min="9" max="9" width="11.90625" customWidth="1"/>
  </cols>
  <sheetData>
    <row r="6" spans="7:9" x14ac:dyDescent="0.35">
      <c r="G6" s="25" t="s">
        <v>126</v>
      </c>
      <c r="H6" s="25"/>
      <c r="I6" s="25"/>
    </row>
    <row r="7" spans="7:9" x14ac:dyDescent="0.35">
      <c r="G7" s="5" t="s">
        <v>93</v>
      </c>
      <c r="H7" s="5" t="s">
        <v>49</v>
      </c>
      <c r="I7" s="5" t="s">
        <v>123</v>
      </c>
    </row>
    <row r="8" spans="7:9" x14ac:dyDescent="0.35">
      <c r="G8" s="5">
        <v>1</v>
      </c>
      <c r="H8" s="5" t="s">
        <v>62</v>
      </c>
      <c r="I8" s="7">
        <v>-0.37814902200601497</v>
      </c>
    </row>
    <row r="9" spans="7:9" x14ac:dyDescent="0.35">
      <c r="G9" s="5">
        <v>2</v>
      </c>
      <c r="H9" s="5" t="s">
        <v>63</v>
      </c>
      <c r="I9" s="7">
        <v>-0.40633131177658699</v>
      </c>
    </row>
    <row r="10" spans="7:9" x14ac:dyDescent="0.35">
      <c r="G10" s="5">
        <v>3</v>
      </c>
      <c r="H10" s="5" t="s">
        <v>54</v>
      </c>
      <c r="I10" s="7">
        <v>-0.41648599243948548</v>
      </c>
    </row>
    <row r="11" spans="7:9" x14ac:dyDescent="0.35">
      <c r="G11" s="5">
        <v>4</v>
      </c>
      <c r="H11" s="5" t="s">
        <v>55</v>
      </c>
      <c r="I11" s="7">
        <v>-0.42629621398877782</v>
      </c>
    </row>
    <row r="12" spans="7:9" x14ac:dyDescent="0.35">
      <c r="G12" s="5">
        <v>5</v>
      </c>
      <c r="H12" s="5" t="s">
        <v>74</v>
      </c>
      <c r="I12" s="7">
        <v>-0.42961151377221007</v>
      </c>
    </row>
    <row r="13" spans="7:9" x14ac:dyDescent="0.35">
      <c r="G13" s="5">
        <v>6</v>
      </c>
      <c r="H13" s="5" t="s">
        <v>79</v>
      </c>
      <c r="I13" s="7">
        <v>-0.43361084553549023</v>
      </c>
    </row>
    <row r="14" spans="7:9" x14ac:dyDescent="0.35">
      <c r="G14" s="5">
        <v>7</v>
      </c>
      <c r="H14" s="5" t="s">
        <v>60</v>
      </c>
      <c r="I14" s="7">
        <v>-0.43608763131133388</v>
      </c>
    </row>
    <row r="15" spans="7:9" x14ac:dyDescent="0.35">
      <c r="G15" s="5">
        <v>8</v>
      </c>
      <c r="H15" s="5" t="s">
        <v>83</v>
      </c>
      <c r="I15" s="7">
        <v>-0.43790158160777293</v>
      </c>
    </row>
    <row r="16" spans="7:9" x14ac:dyDescent="0.35">
      <c r="G16" s="5">
        <v>9</v>
      </c>
      <c r="H16" s="5" t="s">
        <v>61</v>
      </c>
      <c r="I16" s="7">
        <v>-0.44676611556106638</v>
      </c>
    </row>
    <row r="17" spans="7:9" x14ac:dyDescent="0.35">
      <c r="G17" s="5">
        <v>10</v>
      </c>
      <c r="H17" s="5" t="s">
        <v>77</v>
      </c>
      <c r="I17" s="7">
        <v>-0.44845193869276023</v>
      </c>
    </row>
  </sheetData>
  <mergeCells count="1">
    <mergeCell ref="G6:I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66748-ED65-4A28-BD67-FBA1A1C15408}">
  <dimension ref="A3:I40"/>
  <sheetViews>
    <sheetView topLeftCell="A19" workbookViewId="0">
      <selection activeCell="F5" sqref="F5:I39"/>
    </sheetView>
  </sheetViews>
  <sheetFormatPr defaultRowHeight="14.5" x14ac:dyDescent="0.35"/>
  <cols>
    <col min="1" max="1" width="23.36328125" bestFit="1" customWidth="1"/>
    <col min="2" max="2" width="15.26953125" bestFit="1" customWidth="1"/>
    <col min="3" max="3" width="7.81640625" bestFit="1" customWidth="1"/>
    <col min="4" max="4" width="10.7265625" bestFit="1" customWidth="1"/>
    <col min="5" max="5" width="23.36328125" bestFit="1" customWidth="1"/>
    <col min="6" max="6" width="30.26953125" bestFit="1" customWidth="1"/>
    <col min="7" max="7" width="28.1796875" bestFit="1" customWidth="1"/>
    <col min="8" max="8" width="8.81640625" bestFit="1" customWidth="1"/>
    <col min="9" max="9" width="7.81640625" bestFit="1" customWidth="1"/>
    <col min="10" max="10" width="30.26953125" bestFit="1" customWidth="1"/>
    <col min="11" max="11" width="28.1796875" bestFit="1" customWidth="1"/>
  </cols>
  <sheetData>
    <row r="3" spans="1:9" x14ac:dyDescent="0.35">
      <c r="A3" s="3" t="s">
        <v>102</v>
      </c>
      <c r="B3" s="3" t="s">
        <v>113</v>
      </c>
    </row>
    <row r="4" spans="1:9" x14ac:dyDescent="0.35">
      <c r="A4" s="3" t="s">
        <v>86</v>
      </c>
      <c r="B4" t="s">
        <v>89</v>
      </c>
      <c r="C4" t="s">
        <v>91</v>
      </c>
      <c r="D4" t="s">
        <v>87</v>
      </c>
    </row>
    <row r="5" spans="1:9" x14ac:dyDescent="0.35">
      <c r="A5" s="4" t="s">
        <v>73</v>
      </c>
      <c r="C5">
        <v>660</v>
      </c>
      <c r="D5">
        <v>660</v>
      </c>
      <c r="F5" t="s">
        <v>125</v>
      </c>
      <c r="G5">
        <v>2022</v>
      </c>
      <c r="H5">
        <v>2024</v>
      </c>
      <c r="I5" t="s">
        <v>123</v>
      </c>
    </row>
    <row r="6" spans="1:9" x14ac:dyDescent="0.35">
      <c r="A6" s="4" t="s">
        <v>52</v>
      </c>
      <c r="B6">
        <v>6396</v>
      </c>
      <c r="C6">
        <v>1259</v>
      </c>
      <c r="D6">
        <v>7655</v>
      </c>
      <c r="F6" t="s">
        <v>62</v>
      </c>
      <c r="G6">
        <v>14179</v>
      </c>
      <c r="H6">
        <v>5483</v>
      </c>
      <c r="I6" s="6">
        <v>-0.37814902200601497</v>
      </c>
    </row>
    <row r="7" spans="1:9" x14ac:dyDescent="0.35">
      <c r="A7" s="4" t="s">
        <v>76</v>
      </c>
      <c r="B7">
        <v>732826</v>
      </c>
      <c r="C7">
        <v>201784</v>
      </c>
      <c r="D7">
        <v>934610</v>
      </c>
      <c r="F7" t="s">
        <v>63</v>
      </c>
      <c r="G7">
        <v>49662</v>
      </c>
      <c r="H7">
        <v>17503</v>
      </c>
      <c r="I7" s="6">
        <v>-0.40633131177658699</v>
      </c>
    </row>
    <row r="8" spans="1:9" x14ac:dyDescent="0.35">
      <c r="A8" s="4" t="s">
        <v>53</v>
      </c>
      <c r="B8">
        <v>23242</v>
      </c>
      <c r="C8">
        <v>6810</v>
      </c>
      <c r="D8">
        <v>30052</v>
      </c>
      <c r="F8" t="s">
        <v>54</v>
      </c>
      <c r="G8">
        <v>433527</v>
      </c>
      <c r="H8">
        <v>147611</v>
      </c>
      <c r="I8" s="6">
        <v>-0.41648599243948548</v>
      </c>
    </row>
    <row r="9" spans="1:9" x14ac:dyDescent="0.35">
      <c r="A9" s="4" t="s">
        <v>54</v>
      </c>
      <c r="B9">
        <v>433527</v>
      </c>
      <c r="C9">
        <v>147611</v>
      </c>
      <c r="D9">
        <v>581138</v>
      </c>
      <c r="F9" t="s">
        <v>55</v>
      </c>
      <c r="G9">
        <v>432818</v>
      </c>
      <c r="H9">
        <v>142456</v>
      </c>
      <c r="I9" s="6">
        <v>-0.42629621398877782</v>
      </c>
    </row>
    <row r="10" spans="1:9" x14ac:dyDescent="0.35">
      <c r="A10" s="4" t="s">
        <v>65</v>
      </c>
      <c r="B10">
        <v>983697</v>
      </c>
      <c r="C10">
        <v>278461</v>
      </c>
      <c r="D10">
        <v>1262158</v>
      </c>
      <c r="F10" t="s">
        <v>74</v>
      </c>
      <c r="G10">
        <v>618249</v>
      </c>
      <c r="H10">
        <v>201143</v>
      </c>
      <c r="I10" s="6">
        <v>-0.42961151377221007</v>
      </c>
    </row>
    <row r="11" spans="1:9" x14ac:dyDescent="0.35">
      <c r="A11" s="4" t="s">
        <v>66</v>
      </c>
      <c r="B11">
        <v>47879</v>
      </c>
      <c r="C11">
        <v>8630</v>
      </c>
      <c r="D11">
        <v>56509</v>
      </c>
      <c r="F11" t="s">
        <v>79</v>
      </c>
      <c r="G11">
        <v>1343234</v>
      </c>
      <c r="H11">
        <v>430905</v>
      </c>
      <c r="I11" s="6">
        <v>-0.43361084553549023</v>
      </c>
    </row>
    <row r="12" spans="1:9" x14ac:dyDescent="0.35">
      <c r="A12" s="4" t="s">
        <v>55</v>
      </c>
      <c r="B12">
        <v>432818</v>
      </c>
      <c r="C12">
        <v>142456</v>
      </c>
      <c r="D12">
        <v>575274</v>
      </c>
      <c r="F12" t="s">
        <v>60</v>
      </c>
      <c r="G12">
        <v>30277</v>
      </c>
      <c r="H12">
        <v>9628</v>
      </c>
      <c r="I12" s="6">
        <v>-0.43608763131133388</v>
      </c>
    </row>
    <row r="13" spans="1:9" x14ac:dyDescent="0.35">
      <c r="A13" s="4" t="s">
        <v>67</v>
      </c>
      <c r="B13">
        <v>551880</v>
      </c>
      <c r="C13">
        <v>155839</v>
      </c>
      <c r="D13">
        <v>707719</v>
      </c>
      <c r="F13" t="s">
        <v>83</v>
      </c>
      <c r="G13">
        <v>1566918</v>
      </c>
      <c r="H13">
        <v>495075</v>
      </c>
      <c r="I13" s="6">
        <v>-0.43790158160777293</v>
      </c>
    </row>
    <row r="14" spans="1:9" x14ac:dyDescent="0.35">
      <c r="A14" s="4" t="s">
        <v>56</v>
      </c>
      <c r="B14">
        <v>14350</v>
      </c>
      <c r="C14">
        <v>4098</v>
      </c>
      <c r="D14">
        <v>18448</v>
      </c>
      <c r="F14" t="s">
        <v>61</v>
      </c>
      <c r="G14">
        <v>24243</v>
      </c>
      <c r="H14">
        <v>7420</v>
      </c>
      <c r="I14" s="6">
        <v>-0.44676611556106638</v>
      </c>
    </row>
    <row r="15" spans="1:9" x14ac:dyDescent="0.35">
      <c r="A15" s="4" t="s">
        <v>77</v>
      </c>
      <c r="B15">
        <v>68010</v>
      </c>
      <c r="C15">
        <v>20689</v>
      </c>
      <c r="D15">
        <v>88699</v>
      </c>
      <c r="F15" t="s">
        <v>77</v>
      </c>
      <c r="G15">
        <v>68010</v>
      </c>
      <c r="H15">
        <v>20689</v>
      </c>
      <c r="I15" s="6">
        <v>-0.44845193869276023</v>
      </c>
    </row>
    <row r="16" spans="1:9" x14ac:dyDescent="0.35">
      <c r="A16" s="4" t="s">
        <v>78</v>
      </c>
      <c r="B16">
        <v>1388307</v>
      </c>
      <c r="C16">
        <v>359757</v>
      </c>
      <c r="D16">
        <v>1748064</v>
      </c>
      <c r="F16" t="s">
        <v>70</v>
      </c>
      <c r="G16">
        <v>500353</v>
      </c>
      <c r="H16">
        <v>147146</v>
      </c>
      <c r="I16" s="6">
        <v>-0.45770453032480507</v>
      </c>
    </row>
    <row r="17" spans="1:9" x14ac:dyDescent="0.35">
      <c r="A17" s="4" t="s">
        <v>74</v>
      </c>
      <c r="B17">
        <v>618249</v>
      </c>
      <c r="C17">
        <v>201143</v>
      </c>
      <c r="D17">
        <v>819392</v>
      </c>
      <c r="F17" t="s">
        <v>53</v>
      </c>
      <c r="G17">
        <v>23242</v>
      </c>
      <c r="H17">
        <v>6810</v>
      </c>
      <c r="I17" s="6">
        <v>-0.45870152004427822</v>
      </c>
    </row>
    <row r="18" spans="1:9" x14ac:dyDescent="0.35">
      <c r="A18" s="4" t="s">
        <v>72</v>
      </c>
      <c r="B18">
        <v>105723</v>
      </c>
      <c r="C18">
        <v>29240</v>
      </c>
      <c r="D18">
        <v>134963</v>
      </c>
      <c r="F18" t="s">
        <v>82</v>
      </c>
      <c r="G18">
        <v>1072074</v>
      </c>
      <c r="H18">
        <v>307390</v>
      </c>
      <c r="I18" s="6">
        <v>-0.4645332779452942</v>
      </c>
    </row>
    <row r="19" spans="1:9" x14ac:dyDescent="0.35">
      <c r="A19" s="4" t="s">
        <v>57</v>
      </c>
      <c r="B19">
        <v>138151</v>
      </c>
      <c r="C19">
        <v>30212</v>
      </c>
      <c r="D19">
        <v>168363</v>
      </c>
      <c r="F19" t="s">
        <v>81</v>
      </c>
      <c r="G19">
        <v>2080473</v>
      </c>
      <c r="H19">
        <v>596326</v>
      </c>
      <c r="I19" s="6">
        <v>-0.46462161834769156</v>
      </c>
    </row>
    <row r="20" spans="1:9" x14ac:dyDescent="0.35">
      <c r="A20" s="4" t="s">
        <v>75</v>
      </c>
      <c r="B20">
        <v>450405</v>
      </c>
      <c r="C20">
        <v>117056</v>
      </c>
      <c r="D20">
        <v>567461</v>
      </c>
      <c r="F20" t="s">
        <v>56</v>
      </c>
      <c r="G20">
        <v>14350</v>
      </c>
      <c r="H20">
        <v>4098</v>
      </c>
      <c r="I20" s="6">
        <v>-0.46560790341549207</v>
      </c>
    </row>
    <row r="21" spans="1:9" x14ac:dyDescent="0.35">
      <c r="A21" s="4" t="s">
        <v>79</v>
      </c>
      <c r="B21">
        <v>1343234</v>
      </c>
      <c r="C21">
        <v>430905</v>
      </c>
      <c r="D21">
        <v>1774139</v>
      </c>
      <c r="F21" t="s">
        <v>65</v>
      </c>
      <c r="G21">
        <v>983697</v>
      </c>
      <c r="H21">
        <v>278461</v>
      </c>
      <c r="I21" s="6">
        <v>-0.46795114150147288</v>
      </c>
    </row>
    <row r="22" spans="1:9" x14ac:dyDescent="0.35">
      <c r="A22" s="4" t="s">
        <v>80</v>
      </c>
      <c r="B22">
        <v>732817</v>
      </c>
      <c r="C22">
        <v>150080</v>
      </c>
      <c r="D22">
        <v>882897</v>
      </c>
      <c r="F22" t="s">
        <v>67</v>
      </c>
      <c r="G22">
        <v>551880</v>
      </c>
      <c r="H22">
        <v>155839</v>
      </c>
      <c r="I22" s="6">
        <v>-0.46860709865712946</v>
      </c>
    </row>
    <row r="23" spans="1:9" x14ac:dyDescent="0.35">
      <c r="A23" s="4" t="s">
        <v>58</v>
      </c>
      <c r="B23">
        <v>4451</v>
      </c>
      <c r="C23">
        <v>321</v>
      </c>
      <c r="D23">
        <v>4772</v>
      </c>
      <c r="F23" t="s">
        <v>64</v>
      </c>
      <c r="G23">
        <v>41806</v>
      </c>
      <c r="H23">
        <v>11622</v>
      </c>
      <c r="I23" s="6">
        <v>-0.47274448941787317</v>
      </c>
    </row>
    <row r="24" spans="1:9" x14ac:dyDescent="0.35">
      <c r="A24" s="4" t="s">
        <v>68</v>
      </c>
      <c r="B24">
        <v>1194073</v>
      </c>
      <c r="C24">
        <v>327258</v>
      </c>
      <c r="D24">
        <v>1521331</v>
      </c>
      <c r="F24" t="s">
        <v>72</v>
      </c>
      <c r="G24">
        <v>105723</v>
      </c>
      <c r="H24">
        <v>29240</v>
      </c>
      <c r="I24" s="6">
        <v>-0.4740990624569118</v>
      </c>
    </row>
    <row r="25" spans="1:9" x14ac:dyDescent="0.35">
      <c r="A25" s="4" t="s">
        <v>81</v>
      </c>
      <c r="B25">
        <v>2080473</v>
      </c>
      <c r="C25">
        <v>596326</v>
      </c>
      <c r="D25">
        <v>2676799</v>
      </c>
      <c r="F25" t="s">
        <v>76</v>
      </c>
      <c r="G25">
        <v>732826</v>
      </c>
      <c r="H25">
        <v>201784</v>
      </c>
      <c r="I25" s="6">
        <v>-0.47526150086250751</v>
      </c>
    </row>
    <row r="26" spans="1:9" x14ac:dyDescent="0.35">
      <c r="A26" s="4" t="s">
        <v>59</v>
      </c>
      <c r="B26">
        <v>52040</v>
      </c>
      <c r="C26">
        <v>5786</v>
      </c>
      <c r="D26">
        <v>57826</v>
      </c>
      <c r="F26" t="s">
        <v>68</v>
      </c>
      <c r="G26">
        <v>1194073</v>
      </c>
      <c r="H26">
        <v>327258</v>
      </c>
      <c r="I26" s="6">
        <v>-0.47648431652584899</v>
      </c>
    </row>
    <row r="27" spans="1:9" x14ac:dyDescent="0.35">
      <c r="A27" s="4" t="s">
        <v>60</v>
      </c>
      <c r="B27">
        <v>30277</v>
      </c>
      <c r="C27">
        <v>9628</v>
      </c>
      <c r="D27">
        <v>39905</v>
      </c>
      <c r="F27" t="s">
        <v>84</v>
      </c>
      <c r="G27">
        <v>2624436</v>
      </c>
      <c r="H27">
        <v>714658</v>
      </c>
      <c r="I27" s="6">
        <v>-0.47816748449543967</v>
      </c>
    </row>
    <row r="28" spans="1:9" x14ac:dyDescent="0.35">
      <c r="A28" s="4" t="s">
        <v>61</v>
      </c>
      <c r="B28">
        <v>24243</v>
      </c>
      <c r="C28">
        <v>7420</v>
      </c>
      <c r="D28">
        <v>31663</v>
      </c>
      <c r="F28" t="s">
        <v>85</v>
      </c>
      <c r="G28">
        <v>909792</v>
      </c>
      <c r="H28">
        <v>243149</v>
      </c>
      <c r="I28" s="6">
        <v>-0.48303018386781871</v>
      </c>
    </row>
    <row r="29" spans="1:9" x14ac:dyDescent="0.35">
      <c r="A29" s="4" t="s">
        <v>62</v>
      </c>
      <c r="B29">
        <v>14179</v>
      </c>
      <c r="C29">
        <v>5483</v>
      </c>
      <c r="D29">
        <v>19662</v>
      </c>
      <c r="F29" t="s">
        <v>51</v>
      </c>
      <c r="G29">
        <v>9669</v>
      </c>
      <c r="H29">
        <v>2568</v>
      </c>
      <c r="I29" s="6">
        <v>-0.48464472038614315</v>
      </c>
    </row>
    <row r="30" spans="1:9" x14ac:dyDescent="0.35">
      <c r="A30" s="4" t="s">
        <v>69</v>
      </c>
      <c r="B30">
        <v>575498</v>
      </c>
      <c r="C30">
        <v>124545</v>
      </c>
      <c r="D30">
        <v>700043</v>
      </c>
      <c r="F30" t="s">
        <v>75</v>
      </c>
      <c r="G30">
        <v>450405</v>
      </c>
      <c r="H30">
        <v>117056</v>
      </c>
      <c r="I30" s="6">
        <v>-0.49020539140180752</v>
      </c>
    </row>
    <row r="31" spans="1:9" x14ac:dyDescent="0.35">
      <c r="A31" s="4" t="s">
        <v>63</v>
      </c>
      <c r="B31">
        <v>49662</v>
      </c>
      <c r="C31">
        <v>17503</v>
      </c>
      <c r="D31">
        <v>67165</v>
      </c>
      <c r="F31" t="s">
        <v>78</v>
      </c>
      <c r="G31">
        <v>1388307</v>
      </c>
      <c r="H31">
        <v>359757</v>
      </c>
      <c r="I31" s="6">
        <v>-0.4909483261830605</v>
      </c>
    </row>
    <row r="32" spans="1:9" x14ac:dyDescent="0.35">
      <c r="A32" s="4" t="s">
        <v>70</v>
      </c>
      <c r="B32">
        <v>500353</v>
      </c>
      <c r="C32">
        <v>147146</v>
      </c>
      <c r="D32">
        <v>647499</v>
      </c>
      <c r="F32" t="s">
        <v>71</v>
      </c>
      <c r="G32">
        <v>209101</v>
      </c>
      <c r="H32">
        <v>53903</v>
      </c>
      <c r="I32" s="6">
        <v>-0.49227515757365681</v>
      </c>
    </row>
    <row r="33" spans="1:9" x14ac:dyDescent="0.35">
      <c r="A33" s="4" t="s">
        <v>82</v>
      </c>
      <c r="B33">
        <v>1072074</v>
      </c>
      <c r="C33">
        <v>307390</v>
      </c>
      <c r="D33">
        <v>1379464</v>
      </c>
      <c r="F33" t="s">
        <v>57</v>
      </c>
      <c r="G33">
        <v>138151</v>
      </c>
      <c r="H33">
        <v>30212</v>
      </c>
      <c r="I33" s="6">
        <v>-0.53235884813435508</v>
      </c>
    </row>
    <row r="34" spans="1:9" x14ac:dyDescent="0.35">
      <c r="A34" s="4" t="s">
        <v>51</v>
      </c>
      <c r="B34">
        <v>9669</v>
      </c>
      <c r="C34">
        <v>2568</v>
      </c>
      <c r="D34">
        <v>12237</v>
      </c>
      <c r="F34" t="s">
        <v>69</v>
      </c>
      <c r="G34">
        <v>575498</v>
      </c>
      <c r="H34">
        <v>124545</v>
      </c>
      <c r="I34" s="6">
        <v>-0.53479835780844842</v>
      </c>
    </row>
    <row r="35" spans="1:9" x14ac:dyDescent="0.35">
      <c r="A35" s="4" t="s">
        <v>83</v>
      </c>
      <c r="B35">
        <v>1566918</v>
      </c>
      <c r="C35">
        <v>495075</v>
      </c>
      <c r="D35">
        <v>2061993</v>
      </c>
      <c r="F35" t="s">
        <v>80</v>
      </c>
      <c r="G35">
        <v>732817</v>
      </c>
      <c r="H35">
        <v>150080</v>
      </c>
      <c r="I35" s="6">
        <v>-0.54745304952165064</v>
      </c>
    </row>
    <row r="36" spans="1:9" x14ac:dyDescent="0.35">
      <c r="A36" s="4" t="s">
        <v>64</v>
      </c>
      <c r="B36">
        <v>41806</v>
      </c>
      <c r="C36">
        <v>11622</v>
      </c>
      <c r="D36">
        <v>53428</v>
      </c>
      <c r="F36" t="s">
        <v>52</v>
      </c>
      <c r="G36">
        <v>6396</v>
      </c>
      <c r="H36">
        <v>1259</v>
      </c>
      <c r="I36" s="6">
        <v>-0.55633145692976071</v>
      </c>
    </row>
    <row r="37" spans="1:9" x14ac:dyDescent="0.35">
      <c r="A37" s="4" t="s">
        <v>84</v>
      </c>
      <c r="B37">
        <v>2624436</v>
      </c>
      <c r="C37">
        <v>714658</v>
      </c>
      <c r="D37">
        <v>3339094</v>
      </c>
      <c r="F37" t="s">
        <v>66</v>
      </c>
      <c r="G37">
        <v>47879</v>
      </c>
      <c r="H37">
        <v>8630</v>
      </c>
      <c r="I37" s="6">
        <v>-0.5754460730547335</v>
      </c>
    </row>
    <row r="38" spans="1:9" x14ac:dyDescent="0.35">
      <c r="A38" s="4" t="s">
        <v>71</v>
      </c>
      <c r="B38">
        <v>209101</v>
      </c>
      <c r="C38">
        <v>53903</v>
      </c>
      <c r="D38">
        <v>263004</v>
      </c>
      <c r="F38" t="s">
        <v>59</v>
      </c>
      <c r="G38">
        <v>52040</v>
      </c>
      <c r="H38">
        <v>5786</v>
      </c>
      <c r="I38" s="6">
        <v>-0.66655779384962544</v>
      </c>
    </row>
    <row r="39" spans="1:9" x14ac:dyDescent="0.35">
      <c r="A39" s="4" t="s">
        <v>85</v>
      </c>
      <c r="B39">
        <v>909792</v>
      </c>
      <c r="C39">
        <v>243149</v>
      </c>
      <c r="D39">
        <v>1152941</v>
      </c>
      <c r="F39" t="s">
        <v>58</v>
      </c>
      <c r="G39">
        <v>4451</v>
      </c>
      <c r="H39">
        <v>321</v>
      </c>
      <c r="I39" s="6">
        <v>-0.73145088898288346</v>
      </c>
    </row>
    <row r="40" spans="1:9" x14ac:dyDescent="0.35">
      <c r="A40" s="4" t="s">
        <v>87</v>
      </c>
      <c r="B40">
        <v>19030556</v>
      </c>
      <c r="C40">
        <v>5356471</v>
      </c>
      <c r="D40">
        <v>24387027</v>
      </c>
    </row>
  </sheetData>
  <sortState xmlns:xlrd2="http://schemas.microsoft.com/office/spreadsheetml/2017/richdata2" ref="F5:I39">
    <sortCondition descending="1" ref="I5:I39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AF09E-DEAE-4A49-83DE-405FA422EB0A}">
  <dimension ref="H7:I19"/>
  <sheetViews>
    <sheetView workbookViewId="0">
      <selection activeCell="A2" sqref="A2:XFD2"/>
    </sheetView>
  </sheetViews>
  <sheetFormatPr defaultRowHeight="14.5" x14ac:dyDescent="0.35"/>
  <cols>
    <col min="8" max="8" width="14.08984375" customWidth="1"/>
    <col min="9" max="9" width="11.1796875" customWidth="1"/>
  </cols>
  <sheetData>
    <row r="7" spans="8:9" x14ac:dyDescent="0.35">
      <c r="H7" s="25" t="s">
        <v>140</v>
      </c>
      <c r="I7" s="25"/>
    </row>
    <row r="8" spans="8:9" x14ac:dyDescent="0.35">
      <c r="H8" s="5" t="str">
        <f>'Q8.Waste'!A4</f>
        <v>Jan</v>
      </c>
      <c r="I8" s="8">
        <f>'Q8.Waste'!B4</f>
        <v>189099</v>
      </c>
    </row>
    <row r="9" spans="8:9" x14ac:dyDescent="0.35">
      <c r="H9" s="5" t="str">
        <f>'Q8.Waste'!A5</f>
        <v>Feb</v>
      </c>
      <c r="I9" s="8">
        <f>'Q8.Waste'!B5</f>
        <v>198049</v>
      </c>
    </row>
    <row r="10" spans="8:9" x14ac:dyDescent="0.35">
      <c r="H10" s="5" t="str">
        <f>'Q8.Waste'!A6</f>
        <v>Mar</v>
      </c>
      <c r="I10" s="8">
        <f>'Q8.Waste'!B6</f>
        <v>291587</v>
      </c>
    </row>
    <row r="11" spans="8:9" x14ac:dyDescent="0.35">
      <c r="H11" s="5" t="str">
        <f>'Q8.Waste'!A7</f>
        <v>Apr</v>
      </c>
      <c r="I11" s="8">
        <f>'Q8.Waste'!B7</f>
        <v>134657</v>
      </c>
    </row>
    <row r="12" spans="8:9" x14ac:dyDescent="0.35">
      <c r="H12" s="5" t="str">
        <f>'Q8.Waste'!A8</f>
        <v>May</v>
      </c>
      <c r="I12" s="8">
        <f>'Q8.Waste'!B8</f>
        <v>159869</v>
      </c>
    </row>
    <row r="13" spans="8:9" x14ac:dyDescent="0.35">
      <c r="H13" s="5" t="str">
        <f>'Q8.Waste'!A9</f>
        <v>Jun</v>
      </c>
      <c r="I13" s="8">
        <f>'Q8.Waste'!B9</f>
        <v>106709</v>
      </c>
    </row>
    <row r="14" spans="8:9" x14ac:dyDescent="0.35">
      <c r="H14" s="5" t="str">
        <f>'Q8.Waste'!A10</f>
        <v>Jul</v>
      </c>
      <c r="I14" s="8">
        <f>'Q8.Waste'!B10</f>
        <v>127426</v>
      </c>
    </row>
    <row r="15" spans="8:9" x14ac:dyDescent="0.35">
      <c r="H15" s="5" t="str">
        <f>'Q8.Waste'!A11</f>
        <v>Aug</v>
      </c>
      <c r="I15" s="8">
        <f>'Q8.Waste'!B11</f>
        <v>141961</v>
      </c>
    </row>
    <row r="16" spans="8:9" x14ac:dyDescent="0.35">
      <c r="H16" s="5" t="str">
        <f>'Q8.Waste'!A12</f>
        <v>Sep</v>
      </c>
      <c r="I16" s="8">
        <f>'Q8.Waste'!B12</f>
        <v>145972</v>
      </c>
    </row>
    <row r="17" spans="8:9" x14ac:dyDescent="0.35">
      <c r="H17" s="5" t="str">
        <f>'Q8.Waste'!A13</f>
        <v>Oct</v>
      </c>
      <c r="I17" s="8">
        <f>'Q8.Waste'!B13</f>
        <v>185185</v>
      </c>
    </row>
    <row r="18" spans="8:9" x14ac:dyDescent="0.35">
      <c r="H18" s="5" t="str">
        <f>'Q8.Waste'!A14</f>
        <v>Nov</v>
      </c>
      <c r="I18" s="8">
        <f>'Q8.Waste'!B14</f>
        <v>205196</v>
      </c>
    </row>
    <row r="19" spans="8:9" x14ac:dyDescent="0.35">
      <c r="H19" s="5" t="str">
        <f>'Q8.Waste'!A15</f>
        <v>Dec</v>
      </c>
      <c r="I19" s="8">
        <f>'Q8.Waste'!B15</f>
        <v>180401</v>
      </c>
    </row>
  </sheetData>
  <mergeCells count="1">
    <mergeCell ref="H7:I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44EF6-5929-487F-BDC7-B24D07CC0340}">
  <dimension ref="A3:B16"/>
  <sheetViews>
    <sheetView workbookViewId="0">
      <selection activeCell="G16" sqref="G16"/>
    </sheetView>
  </sheetViews>
  <sheetFormatPr defaultRowHeight="14.5" x14ac:dyDescent="0.35"/>
  <cols>
    <col min="1" max="1" width="12.36328125" bestFit="1" customWidth="1"/>
    <col min="2" max="2" width="25.453125" bestFit="1" customWidth="1"/>
  </cols>
  <sheetData>
    <row r="3" spans="1:2" x14ac:dyDescent="0.35">
      <c r="A3" s="3" t="s">
        <v>86</v>
      </c>
      <c r="B3" t="s">
        <v>88</v>
      </c>
    </row>
    <row r="4" spans="1:2" x14ac:dyDescent="0.35">
      <c r="A4" s="4" t="s">
        <v>132</v>
      </c>
      <c r="B4">
        <v>189099</v>
      </c>
    </row>
    <row r="5" spans="1:2" x14ac:dyDescent="0.35">
      <c r="A5" s="4" t="s">
        <v>131</v>
      </c>
      <c r="B5">
        <v>198049</v>
      </c>
    </row>
    <row r="6" spans="1:2" x14ac:dyDescent="0.35">
      <c r="A6" s="4" t="s">
        <v>135</v>
      </c>
      <c r="B6">
        <v>291587</v>
      </c>
    </row>
    <row r="7" spans="1:2" x14ac:dyDescent="0.35">
      <c r="A7" s="4" t="s">
        <v>128</v>
      </c>
      <c r="B7">
        <v>134657</v>
      </c>
    </row>
    <row r="8" spans="1:2" x14ac:dyDescent="0.35">
      <c r="A8" s="4" t="s">
        <v>136</v>
      </c>
      <c r="B8">
        <v>159869</v>
      </c>
    </row>
    <row r="9" spans="1:2" x14ac:dyDescent="0.35">
      <c r="A9" s="4" t="s">
        <v>134</v>
      </c>
      <c r="B9">
        <v>106709</v>
      </c>
    </row>
    <row r="10" spans="1:2" x14ac:dyDescent="0.35">
      <c r="A10" s="4" t="s">
        <v>133</v>
      </c>
      <c r="B10">
        <v>127426</v>
      </c>
    </row>
    <row r="11" spans="1:2" x14ac:dyDescent="0.35">
      <c r="A11" s="4" t="s">
        <v>129</v>
      </c>
      <c r="B11">
        <v>141961</v>
      </c>
    </row>
    <row r="12" spans="1:2" x14ac:dyDescent="0.35">
      <c r="A12" s="4" t="s">
        <v>139</v>
      </c>
      <c r="B12">
        <v>145972</v>
      </c>
    </row>
    <row r="13" spans="1:2" x14ac:dyDescent="0.35">
      <c r="A13" s="4" t="s">
        <v>138</v>
      </c>
      <c r="B13">
        <v>185185</v>
      </c>
    </row>
    <row r="14" spans="1:2" x14ac:dyDescent="0.35">
      <c r="A14" s="4" t="s">
        <v>137</v>
      </c>
      <c r="B14">
        <v>205196</v>
      </c>
    </row>
    <row r="15" spans="1:2" x14ac:dyDescent="0.35">
      <c r="A15" s="4" t="s">
        <v>130</v>
      </c>
      <c r="B15">
        <v>180401</v>
      </c>
    </row>
    <row r="16" spans="1:2" x14ac:dyDescent="0.35">
      <c r="A16" s="4" t="s">
        <v>87</v>
      </c>
      <c r="B16">
        <v>2066111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6AB92-24C8-4739-9BC9-4970A8B95612}">
  <dimension ref="G3:M37"/>
  <sheetViews>
    <sheetView workbookViewId="0">
      <selection activeCell="N16" sqref="N16"/>
    </sheetView>
  </sheetViews>
  <sheetFormatPr defaultRowHeight="14.5" x14ac:dyDescent="0.35"/>
  <cols>
    <col min="8" max="8" width="23.36328125" bestFit="1" customWidth="1"/>
    <col min="9" max="9" width="10" customWidth="1"/>
    <col min="10" max="10" width="9.453125" customWidth="1"/>
    <col min="11" max="11" width="17.90625" bestFit="1" customWidth="1"/>
  </cols>
  <sheetData>
    <row r="3" spans="7:13" x14ac:dyDescent="0.35">
      <c r="G3" s="25" t="s">
        <v>141</v>
      </c>
      <c r="H3" s="25"/>
      <c r="I3" s="25"/>
      <c r="J3" s="25"/>
      <c r="K3" s="25"/>
    </row>
    <row r="4" spans="7:13" x14ac:dyDescent="0.35">
      <c r="G4" s="5" t="s">
        <v>93</v>
      </c>
      <c r="H4" s="5" t="s">
        <v>103</v>
      </c>
      <c r="I4" s="5" t="s">
        <v>142</v>
      </c>
      <c r="J4" s="5" t="s">
        <v>123</v>
      </c>
      <c r="K4" s="5" t="s">
        <v>143</v>
      </c>
    </row>
    <row r="5" spans="7:13" x14ac:dyDescent="0.35">
      <c r="G5" s="5">
        <v>1</v>
      </c>
      <c r="H5" s="5" t="s">
        <v>84</v>
      </c>
      <c r="I5" s="5">
        <v>21206</v>
      </c>
      <c r="J5" s="7">
        <v>-5.5889060134800883E-2</v>
      </c>
      <c r="K5" s="11">
        <v>15017.475680276617</v>
      </c>
    </row>
    <row r="6" spans="7:13" x14ac:dyDescent="0.35">
      <c r="G6" s="5">
        <v>2</v>
      </c>
      <c r="H6" s="5" t="s">
        <v>79</v>
      </c>
      <c r="I6" s="5">
        <v>51247</v>
      </c>
      <c r="J6" s="7">
        <v>-0.25058060911589752</v>
      </c>
      <c r="K6" s="11">
        <v>9078.5816389710362</v>
      </c>
      <c r="M6" s="15"/>
    </row>
    <row r="7" spans="7:13" x14ac:dyDescent="0.35">
      <c r="G7" s="5">
        <v>3</v>
      </c>
      <c r="H7" s="5" t="s">
        <v>61</v>
      </c>
      <c r="I7" s="5">
        <v>138</v>
      </c>
      <c r="J7" s="7">
        <v>0.95789002074512175</v>
      </c>
      <c r="K7" s="11">
        <v>7773.3611111111131</v>
      </c>
    </row>
    <row r="8" spans="7:13" x14ac:dyDescent="0.35">
      <c r="G8" s="5">
        <v>4</v>
      </c>
      <c r="H8" s="5" t="s">
        <v>81</v>
      </c>
      <c r="I8" s="5">
        <v>61823</v>
      </c>
      <c r="J8" s="7">
        <v>-0.30838971671600357</v>
      </c>
      <c r="K8" s="11">
        <v>6765.7933319067015</v>
      </c>
    </row>
    <row r="9" spans="7:13" x14ac:dyDescent="0.35">
      <c r="G9" s="5">
        <v>5</v>
      </c>
      <c r="H9" s="5" t="s">
        <v>80</v>
      </c>
      <c r="I9" s="5">
        <v>22533</v>
      </c>
      <c r="J9" s="7">
        <v>-0.22232213261217515</v>
      </c>
      <c r="K9" s="11">
        <v>4984.4523853164774</v>
      </c>
    </row>
    <row r="10" spans="7:13" x14ac:dyDescent="0.35">
      <c r="G10" s="5">
        <v>6</v>
      </c>
      <c r="H10" s="5" t="s">
        <v>83</v>
      </c>
      <c r="I10" s="5">
        <v>31547</v>
      </c>
      <c r="J10" s="7">
        <v>-0.29836538925624578</v>
      </c>
      <c r="K10" s="11">
        <v>3763.7787876032853</v>
      </c>
    </row>
    <row r="11" spans="7:13" x14ac:dyDescent="0.35">
      <c r="G11" s="5">
        <v>7</v>
      </c>
      <c r="H11" s="5" t="s">
        <v>68</v>
      </c>
      <c r="I11" s="5">
        <v>13923</v>
      </c>
      <c r="J11" s="7">
        <v>-0.22114583989124292</v>
      </c>
      <c r="K11" s="11">
        <v>3107.9189666883244</v>
      </c>
    </row>
    <row r="12" spans="7:13" x14ac:dyDescent="0.35">
      <c r="G12" s="5">
        <v>8</v>
      </c>
      <c r="H12" s="5" t="s">
        <v>85</v>
      </c>
      <c r="I12" s="5">
        <v>6000</v>
      </c>
      <c r="J12" s="7">
        <v>-0.19948750795512415</v>
      </c>
      <c r="K12" s="11">
        <v>1578.9192926910594</v>
      </c>
    </row>
    <row r="13" spans="7:13" x14ac:dyDescent="0.35">
      <c r="G13" s="5">
        <v>9</v>
      </c>
      <c r="H13" s="5" t="s">
        <v>77</v>
      </c>
      <c r="I13" s="5">
        <v>3875</v>
      </c>
      <c r="J13" s="7">
        <v>-0.16934190096473656</v>
      </c>
      <c r="K13" s="11">
        <v>1272.9329547338407</v>
      </c>
    </row>
    <row r="14" spans="7:13" x14ac:dyDescent="0.35">
      <c r="G14" s="5">
        <v>10</v>
      </c>
      <c r="H14" s="5" t="s">
        <v>53</v>
      </c>
      <c r="I14" s="5">
        <v>10</v>
      </c>
      <c r="J14" s="7">
        <v>1.2360679774997898</v>
      </c>
      <c r="K14" s="11">
        <v>1250.0000000000005</v>
      </c>
    </row>
    <row r="15" spans="7:13" x14ac:dyDescent="0.35">
      <c r="G15" s="5">
        <v>11</v>
      </c>
      <c r="H15" s="5" t="s">
        <v>76</v>
      </c>
      <c r="I15" s="5">
        <v>12638</v>
      </c>
      <c r="J15" s="7">
        <v>-0.32876786081845599</v>
      </c>
      <c r="K15" s="11">
        <v>1155.8854775726768</v>
      </c>
    </row>
    <row r="16" spans="7:13" x14ac:dyDescent="0.35">
      <c r="G16" s="5">
        <v>12</v>
      </c>
      <c r="H16" s="5" t="s">
        <v>55</v>
      </c>
      <c r="I16" s="5">
        <v>8485</v>
      </c>
      <c r="J16" s="7">
        <v>-0.28847704431425381</v>
      </c>
      <c r="K16" s="11">
        <v>1100.9949924898747</v>
      </c>
    </row>
    <row r="17" spans="7:11" x14ac:dyDescent="0.35">
      <c r="G17" s="5">
        <v>13</v>
      </c>
      <c r="H17" s="5" t="s">
        <v>65</v>
      </c>
      <c r="I17" s="5">
        <v>5401</v>
      </c>
      <c r="J17" s="7">
        <v>-0.26768017608692452</v>
      </c>
      <c r="K17" s="11">
        <v>833.06506255658587</v>
      </c>
    </row>
    <row r="18" spans="7:11" x14ac:dyDescent="0.35">
      <c r="G18" s="5">
        <v>14</v>
      </c>
      <c r="H18" s="5" t="s">
        <v>82</v>
      </c>
      <c r="I18" s="5">
        <v>19018</v>
      </c>
      <c r="J18" s="7">
        <v>-0.41514928425090369</v>
      </c>
      <c r="K18" s="11">
        <v>761.08821552950758</v>
      </c>
    </row>
    <row r="19" spans="7:11" x14ac:dyDescent="0.35">
      <c r="G19" s="5">
        <v>15</v>
      </c>
      <c r="H19" s="5" t="s">
        <v>63</v>
      </c>
      <c r="I19" s="5">
        <v>1202</v>
      </c>
      <c r="J19" s="7">
        <v>-9.0777801152227111E-2</v>
      </c>
      <c r="K19" s="11">
        <v>679.08580287054156</v>
      </c>
    </row>
    <row r="20" spans="7:11" x14ac:dyDescent="0.35">
      <c r="G20" s="5">
        <v>16</v>
      </c>
      <c r="H20" s="5" t="s">
        <v>78</v>
      </c>
      <c r="I20" s="5">
        <v>20688</v>
      </c>
      <c r="J20" s="7">
        <v>-0.44592574628911463</v>
      </c>
      <c r="K20" s="11">
        <v>598.5856877107534</v>
      </c>
    </row>
    <row r="21" spans="7:11" x14ac:dyDescent="0.35">
      <c r="G21" s="5">
        <v>17</v>
      </c>
      <c r="H21" s="5" t="s">
        <v>67</v>
      </c>
      <c r="I21" s="5">
        <v>13277</v>
      </c>
      <c r="J21" s="7">
        <v>-0.42557704805599417</v>
      </c>
      <c r="K21" s="11">
        <v>476.96955856796859</v>
      </c>
    </row>
    <row r="22" spans="7:11" x14ac:dyDescent="0.35">
      <c r="G22" s="5">
        <v>18</v>
      </c>
      <c r="H22" s="5" t="s">
        <v>54</v>
      </c>
      <c r="I22" s="5">
        <v>1364</v>
      </c>
      <c r="J22" s="7">
        <v>-0.17084380241115005</v>
      </c>
      <c r="K22" s="11">
        <v>443.2333984375</v>
      </c>
    </row>
    <row r="23" spans="7:11" x14ac:dyDescent="0.35">
      <c r="G23" s="5">
        <v>19</v>
      </c>
      <c r="H23" s="5" t="s">
        <v>70</v>
      </c>
      <c r="I23" s="5">
        <v>3700</v>
      </c>
      <c r="J23" s="7">
        <v>-0.30463411309197874</v>
      </c>
      <c r="K23" s="11">
        <v>418.2943631947843</v>
      </c>
    </row>
    <row r="24" spans="7:11" x14ac:dyDescent="0.35">
      <c r="G24" s="5">
        <v>20</v>
      </c>
      <c r="H24" s="5" t="s">
        <v>66</v>
      </c>
      <c r="I24" s="5">
        <v>763</v>
      </c>
      <c r="J24" s="7">
        <v>-0.17791769930066137</v>
      </c>
      <c r="K24" s="11">
        <v>235.51378168246583</v>
      </c>
    </row>
    <row r="25" spans="7:11" x14ac:dyDescent="0.35">
      <c r="G25" s="5">
        <v>21</v>
      </c>
      <c r="H25" s="5" t="s">
        <v>74</v>
      </c>
      <c r="I25" s="5">
        <v>4620</v>
      </c>
      <c r="J25" s="7">
        <v>-0.39275662808848599</v>
      </c>
      <c r="K25" s="11">
        <v>231.64272994187397</v>
      </c>
    </row>
    <row r="26" spans="7:11" x14ac:dyDescent="0.35">
      <c r="G26" s="5">
        <v>22</v>
      </c>
      <c r="H26" s="5" t="s">
        <v>69</v>
      </c>
      <c r="I26" s="5">
        <v>7969</v>
      </c>
      <c r="J26" s="7">
        <v>-0.44806066691229129</v>
      </c>
      <c r="K26" s="11">
        <v>225.29517649813411</v>
      </c>
    </row>
    <row r="27" spans="7:11" x14ac:dyDescent="0.35">
      <c r="G27" s="5">
        <v>23</v>
      </c>
      <c r="H27" s="5" t="s">
        <v>60</v>
      </c>
      <c r="I27" s="5">
        <v>49</v>
      </c>
      <c r="J27" s="7">
        <v>0.2185435916898848</v>
      </c>
      <c r="K27" s="11">
        <v>160.41408576119315</v>
      </c>
    </row>
    <row r="28" spans="7:11" x14ac:dyDescent="0.35">
      <c r="G28" s="5">
        <v>24</v>
      </c>
      <c r="H28" s="5" t="s">
        <v>75</v>
      </c>
      <c r="I28" s="5">
        <v>2208</v>
      </c>
      <c r="J28" s="7">
        <v>-0.4337809287999228</v>
      </c>
      <c r="K28" s="11">
        <v>72.762234443262699</v>
      </c>
    </row>
    <row r="29" spans="7:11" x14ac:dyDescent="0.35">
      <c r="G29" s="5">
        <v>25</v>
      </c>
      <c r="H29" s="5" t="s">
        <v>56</v>
      </c>
      <c r="I29" s="5">
        <v>92</v>
      </c>
      <c r="J29" s="7">
        <v>-5.4905357387343146E-2</v>
      </c>
      <c r="K29" s="11">
        <v>65.560104216332164</v>
      </c>
    </row>
    <row r="30" spans="7:11" x14ac:dyDescent="0.35">
      <c r="G30" s="5">
        <v>26</v>
      </c>
      <c r="H30" s="5" t="s">
        <v>57</v>
      </c>
      <c r="I30" s="5">
        <v>801</v>
      </c>
      <c r="J30" s="7">
        <v>-0.39383897134461832</v>
      </c>
      <c r="K30" s="11">
        <v>39.733844107062467</v>
      </c>
    </row>
    <row r="31" spans="7:11" x14ac:dyDescent="0.35">
      <c r="G31" s="5">
        <v>27</v>
      </c>
      <c r="H31" s="5" t="s">
        <v>71</v>
      </c>
      <c r="I31" s="5">
        <v>1707</v>
      </c>
      <c r="J31" s="7">
        <v>-0.47017888917850181</v>
      </c>
      <c r="K31" s="11">
        <v>37.758008006380159</v>
      </c>
    </row>
    <row r="32" spans="7:11" x14ac:dyDescent="0.35">
      <c r="G32" s="5">
        <v>28</v>
      </c>
      <c r="H32" s="5" t="s">
        <v>72</v>
      </c>
      <c r="I32" s="5">
        <v>276</v>
      </c>
      <c r="J32" s="7">
        <v>-0.47146218042542332</v>
      </c>
      <c r="K32" s="11">
        <v>6.0167988754297435</v>
      </c>
    </row>
    <row r="33" spans="7:11" x14ac:dyDescent="0.35">
      <c r="G33" s="5">
        <v>29</v>
      </c>
      <c r="H33" s="5" t="s">
        <v>64</v>
      </c>
      <c r="I33" s="5">
        <v>78</v>
      </c>
      <c r="J33" s="7">
        <v>-0.36915993811943948</v>
      </c>
      <c r="K33" s="11">
        <v>4.915981011313316</v>
      </c>
    </row>
    <row r="34" spans="7:11" x14ac:dyDescent="0.35">
      <c r="G34" s="5">
        <v>30</v>
      </c>
      <c r="H34" s="5" t="s">
        <v>62</v>
      </c>
      <c r="I34" s="5">
        <v>3</v>
      </c>
      <c r="J34" s="7">
        <v>0</v>
      </c>
      <c r="K34" s="11">
        <v>3</v>
      </c>
    </row>
    <row r="35" spans="7:11" x14ac:dyDescent="0.35">
      <c r="G35" s="5">
        <v>31</v>
      </c>
      <c r="H35" s="5" t="s">
        <v>58</v>
      </c>
      <c r="I35" s="5">
        <v>14</v>
      </c>
      <c r="J35" s="7">
        <v>-0.31686994893602682</v>
      </c>
      <c r="K35" s="11">
        <v>1.4228148148148143</v>
      </c>
    </row>
    <row r="36" spans="7:11" x14ac:dyDescent="0.35">
      <c r="G36" s="5">
        <v>32</v>
      </c>
      <c r="H36" s="5" t="s">
        <v>59</v>
      </c>
      <c r="I36" s="5">
        <v>39</v>
      </c>
      <c r="J36" s="7">
        <v>-0.44365135973581316</v>
      </c>
      <c r="K36" s="11">
        <v>1.1565030774214455</v>
      </c>
    </row>
    <row r="37" spans="7:11" x14ac:dyDescent="0.35">
      <c r="G37" s="5">
        <v>33</v>
      </c>
      <c r="H37" s="5" t="s">
        <v>52</v>
      </c>
      <c r="I37" s="5">
        <v>9</v>
      </c>
      <c r="J37" s="7">
        <v>-0.37445675782877574</v>
      </c>
      <c r="K37" s="11">
        <v>0.53924550012328409</v>
      </c>
    </row>
  </sheetData>
  <mergeCells count="1">
    <mergeCell ref="G3:K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1132B-71F2-4731-A9FD-86E32192C8DA}">
  <dimension ref="A3:J77"/>
  <sheetViews>
    <sheetView topLeftCell="A37" workbookViewId="0">
      <selection activeCell="F53" sqref="F53"/>
    </sheetView>
  </sheetViews>
  <sheetFormatPr defaultRowHeight="14.5" x14ac:dyDescent="0.35"/>
  <cols>
    <col min="1" max="1" width="25.453125" bestFit="1" customWidth="1"/>
    <col min="2" max="2" width="23.36328125" bestFit="1" customWidth="1"/>
    <col min="3" max="3" width="6.81640625" bestFit="1" customWidth="1"/>
    <col min="4" max="4" width="10.7265625" bestFit="1" customWidth="1"/>
    <col min="5" max="5" width="7.81640625" bestFit="1" customWidth="1"/>
    <col min="6" max="6" width="23.36328125" bestFit="1" customWidth="1"/>
  </cols>
  <sheetData>
    <row r="3" spans="1:10" x14ac:dyDescent="0.35">
      <c r="A3" s="3" t="s">
        <v>88</v>
      </c>
      <c r="B3" s="3" t="s">
        <v>113</v>
      </c>
    </row>
    <row r="4" spans="1:10" x14ac:dyDescent="0.35">
      <c r="A4" s="3" t="s">
        <v>86</v>
      </c>
      <c r="B4" t="s">
        <v>89</v>
      </c>
      <c r="C4" t="s">
        <v>91</v>
      </c>
      <c r="D4" t="s">
        <v>87</v>
      </c>
      <c r="F4" t="s">
        <v>103</v>
      </c>
      <c r="G4">
        <v>2022</v>
      </c>
      <c r="H4">
        <v>2024</v>
      </c>
      <c r="I4" t="s">
        <v>123</v>
      </c>
      <c r="J4">
        <v>2030</v>
      </c>
    </row>
    <row r="5" spans="1:10" x14ac:dyDescent="0.35">
      <c r="A5" s="4" t="s">
        <v>73</v>
      </c>
      <c r="C5">
        <v>2</v>
      </c>
      <c r="D5">
        <v>2</v>
      </c>
      <c r="F5" t="s">
        <v>73</v>
      </c>
      <c r="G5">
        <v>0</v>
      </c>
      <c r="H5">
        <v>2</v>
      </c>
      <c r="I5" s="6" t="e">
        <v>#DIV/0!</v>
      </c>
      <c r="J5" s="9" t="e">
        <v>#DIV/0!</v>
      </c>
    </row>
    <row r="6" spans="1:10" x14ac:dyDescent="0.35">
      <c r="A6" s="4" t="s">
        <v>52</v>
      </c>
      <c r="B6">
        <v>23</v>
      </c>
      <c r="C6">
        <v>9</v>
      </c>
      <c r="D6">
        <v>32</v>
      </c>
      <c r="F6" t="s">
        <v>52</v>
      </c>
      <c r="G6">
        <v>23</v>
      </c>
      <c r="H6">
        <v>9</v>
      </c>
      <c r="I6" s="6">
        <v>-0.37445675782877574</v>
      </c>
      <c r="J6" s="10">
        <v>0.53924550012328409</v>
      </c>
    </row>
    <row r="7" spans="1:10" x14ac:dyDescent="0.35">
      <c r="A7" s="4" t="s">
        <v>76</v>
      </c>
      <c r="B7">
        <v>28050</v>
      </c>
      <c r="C7">
        <v>12638</v>
      </c>
      <c r="D7">
        <v>40688</v>
      </c>
      <c r="F7" t="s">
        <v>76</v>
      </c>
      <c r="G7">
        <v>28050</v>
      </c>
      <c r="H7">
        <v>12638</v>
      </c>
      <c r="I7" s="6">
        <v>-0.32876786081845599</v>
      </c>
      <c r="J7" s="10">
        <v>1155.8854775726768</v>
      </c>
    </row>
    <row r="8" spans="1:10" x14ac:dyDescent="0.35">
      <c r="A8" s="4" t="s">
        <v>53</v>
      </c>
      <c r="B8">
        <v>2</v>
      </c>
      <c r="C8">
        <v>10</v>
      </c>
      <c r="D8">
        <v>12</v>
      </c>
      <c r="F8" t="s">
        <v>53</v>
      </c>
      <c r="G8">
        <v>2</v>
      </c>
      <c r="H8">
        <v>10</v>
      </c>
      <c r="I8" s="6">
        <v>1.2360679774997898</v>
      </c>
      <c r="J8" s="10">
        <v>1250.0000000000005</v>
      </c>
    </row>
    <row r="9" spans="1:10" x14ac:dyDescent="0.35">
      <c r="A9" s="4" t="s">
        <v>54</v>
      </c>
      <c r="B9">
        <v>1984</v>
      </c>
      <c r="C9">
        <v>1364</v>
      </c>
      <c r="D9">
        <v>3348</v>
      </c>
      <c r="F9" t="s">
        <v>54</v>
      </c>
      <c r="G9">
        <v>1984</v>
      </c>
      <c r="H9">
        <v>1364</v>
      </c>
      <c r="I9" s="6">
        <v>-0.17084380241115005</v>
      </c>
      <c r="J9" s="10">
        <v>443.2333984375</v>
      </c>
    </row>
    <row r="10" spans="1:10" x14ac:dyDescent="0.35">
      <c r="A10" s="4" t="s">
        <v>65</v>
      </c>
      <c r="B10">
        <v>10071</v>
      </c>
      <c r="C10">
        <v>5401</v>
      </c>
      <c r="D10">
        <v>15472</v>
      </c>
      <c r="F10" t="s">
        <v>65</v>
      </c>
      <c r="G10">
        <v>10071</v>
      </c>
      <c r="H10">
        <v>5401</v>
      </c>
      <c r="I10" s="6">
        <v>-0.26768017608692452</v>
      </c>
      <c r="J10" s="10">
        <v>833.06506255658587</v>
      </c>
    </row>
    <row r="11" spans="1:10" x14ac:dyDescent="0.35">
      <c r="A11" s="4" t="s">
        <v>66</v>
      </c>
      <c r="B11">
        <v>1129</v>
      </c>
      <c r="C11">
        <v>763</v>
      </c>
      <c r="D11">
        <v>1892</v>
      </c>
      <c r="F11" t="s">
        <v>66</v>
      </c>
      <c r="G11">
        <v>1129</v>
      </c>
      <c r="H11">
        <v>763</v>
      </c>
      <c r="I11" s="6">
        <v>-0.17791769930066137</v>
      </c>
      <c r="J11" s="10">
        <v>235.51378168246583</v>
      </c>
    </row>
    <row r="12" spans="1:10" x14ac:dyDescent="0.35">
      <c r="A12" s="4" t="s">
        <v>55</v>
      </c>
      <c r="B12">
        <v>16760</v>
      </c>
      <c r="C12">
        <v>8485</v>
      </c>
      <c r="D12">
        <v>25245</v>
      </c>
      <c r="F12" t="s">
        <v>55</v>
      </c>
      <c r="G12">
        <v>16760</v>
      </c>
      <c r="H12">
        <v>8485</v>
      </c>
      <c r="I12" s="6">
        <v>-0.28847704431425381</v>
      </c>
      <c r="J12" s="10">
        <v>1100.9949924898747</v>
      </c>
    </row>
    <row r="13" spans="1:10" x14ac:dyDescent="0.35">
      <c r="A13" s="4" t="s">
        <v>67</v>
      </c>
      <c r="B13">
        <v>40238</v>
      </c>
      <c r="C13">
        <v>13277</v>
      </c>
      <c r="D13">
        <v>53515</v>
      </c>
      <c r="F13" t="s">
        <v>67</v>
      </c>
      <c r="G13">
        <v>40238</v>
      </c>
      <c r="H13">
        <v>13277</v>
      </c>
      <c r="I13" s="6">
        <v>-0.42557704805599417</v>
      </c>
      <c r="J13" s="10">
        <v>476.96955856796859</v>
      </c>
    </row>
    <row r="14" spans="1:10" x14ac:dyDescent="0.35">
      <c r="A14" s="4" t="s">
        <v>56</v>
      </c>
      <c r="B14">
        <v>103</v>
      </c>
      <c r="C14">
        <v>92</v>
      </c>
      <c r="D14">
        <v>195</v>
      </c>
      <c r="F14" t="s">
        <v>56</v>
      </c>
      <c r="G14">
        <v>103</v>
      </c>
      <c r="H14">
        <v>92</v>
      </c>
      <c r="I14" s="6">
        <v>-5.4905357387343146E-2</v>
      </c>
      <c r="J14" s="10">
        <v>65.560104216332164</v>
      </c>
    </row>
    <row r="15" spans="1:10" x14ac:dyDescent="0.35">
      <c r="A15" s="4" t="s">
        <v>77</v>
      </c>
      <c r="B15">
        <v>5616</v>
      </c>
      <c r="C15">
        <v>3875</v>
      </c>
      <c r="D15">
        <v>9491</v>
      </c>
      <c r="F15" t="s">
        <v>77</v>
      </c>
      <c r="G15">
        <v>5616</v>
      </c>
      <c r="H15">
        <v>3875</v>
      </c>
      <c r="I15" s="6">
        <v>-0.16934190096473656</v>
      </c>
      <c r="J15" s="10">
        <v>1272.9329547338407</v>
      </c>
    </row>
    <row r="16" spans="1:10" x14ac:dyDescent="0.35">
      <c r="A16" s="4" t="s">
        <v>78</v>
      </c>
      <c r="B16">
        <v>67388</v>
      </c>
      <c r="C16">
        <v>20688</v>
      </c>
      <c r="D16">
        <v>88076</v>
      </c>
      <c r="F16" t="s">
        <v>78</v>
      </c>
      <c r="G16">
        <v>67388</v>
      </c>
      <c r="H16">
        <v>20688</v>
      </c>
      <c r="I16" s="6">
        <v>-0.44592574628911463</v>
      </c>
      <c r="J16" s="10">
        <v>598.5856877107534</v>
      </c>
    </row>
    <row r="17" spans="1:10" x14ac:dyDescent="0.35">
      <c r="A17" s="4" t="s">
        <v>74</v>
      </c>
      <c r="B17">
        <v>12529</v>
      </c>
      <c r="C17">
        <v>4620</v>
      </c>
      <c r="D17">
        <v>17149</v>
      </c>
      <c r="F17" t="s">
        <v>74</v>
      </c>
      <c r="G17">
        <v>12529</v>
      </c>
      <c r="H17">
        <v>4620</v>
      </c>
      <c r="I17" s="6">
        <v>-0.39275662808848599</v>
      </c>
      <c r="J17" s="10">
        <v>231.64272994187397</v>
      </c>
    </row>
    <row r="18" spans="1:10" x14ac:dyDescent="0.35">
      <c r="A18" s="4" t="s">
        <v>72</v>
      </c>
      <c r="B18">
        <v>988</v>
      </c>
      <c r="C18">
        <v>276</v>
      </c>
      <c r="D18">
        <v>1264</v>
      </c>
      <c r="F18" t="s">
        <v>72</v>
      </c>
      <c r="G18">
        <v>988</v>
      </c>
      <c r="H18">
        <v>276</v>
      </c>
      <c r="I18" s="6">
        <v>-0.47146218042542332</v>
      </c>
      <c r="J18" s="10">
        <v>6.0167988754297435</v>
      </c>
    </row>
    <row r="19" spans="1:10" x14ac:dyDescent="0.35">
      <c r="A19" s="4" t="s">
        <v>57</v>
      </c>
      <c r="B19">
        <v>2180</v>
      </c>
      <c r="C19">
        <v>801</v>
      </c>
      <c r="D19">
        <v>2981</v>
      </c>
      <c r="F19" t="s">
        <v>57</v>
      </c>
      <c r="G19">
        <v>2180</v>
      </c>
      <c r="H19">
        <v>801</v>
      </c>
      <c r="I19" s="6">
        <v>-0.39383897134461832</v>
      </c>
      <c r="J19" s="10">
        <v>39.733844107062467</v>
      </c>
    </row>
    <row r="20" spans="1:10" x14ac:dyDescent="0.35">
      <c r="A20" s="4" t="s">
        <v>75</v>
      </c>
      <c r="B20">
        <v>6887</v>
      </c>
      <c r="C20">
        <v>2208</v>
      </c>
      <c r="D20">
        <v>9095</v>
      </c>
      <c r="F20" t="s">
        <v>75</v>
      </c>
      <c r="G20">
        <v>6887</v>
      </c>
      <c r="H20">
        <v>2208</v>
      </c>
      <c r="I20" s="6">
        <v>-0.4337809287999228</v>
      </c>
      <c r="J20" s="10">
        <v>72.762234443262699</v>
      </c>
    </row>
    <row r="21" spans="1:10" x14ac:dyDescent="0.35">
      <c r="A21" s="4" t="s">
        <v>79</v>
      </c>
      <c r="B21">
        <v>91247</v>
      </c>
      <c r="C21">
        <v>51247</v>
      </c>
      <c r="D21">
        <v>142494</v>
      </c>
      <c r="F21" t="s">
        <v>79</v>
      </c>
      <c r="G21">
        <v>91247</v>
      </c>
      <c r="H21">
        <v>51247</v>
      </c>
      <c r="I21" s="6">
        <v>-0.25058060911589752</v>
      </c>
      <c r="J21" s="10">
        <v>9078.5816389710362</v>
      </c>
    </row>
    <row r="22" spans="1:10" x14ac:dyDescent="0.35">
      <c r="A22" s="4" t="s">
        <v>80</v>
      </c>
      <c r="B22">
        <v>37258</v>
      </c>
      <c r="C22">
        <v>22533</v>
      </c>
      <c r="D22">
        <v>59791</v>
      </c>
      <c r="F22" t="s">
        <v>80</v>
      </c>
      <c r="G22">
        <v>37258</v>
      </c>
      <c r="H22">
        <v>22533</v>
      </c>
      <c r="I22" s="6">
        <v>-0.22232213261217515</v>
      </c>
      <c r="J22" s="10">
        <v>4984.4523853164774</v>
      </c>
    </row>
    <row r="23" spans="1:10" x14ac:dyDescent="0.35">
      <c r="A23" s="4" t="s">
        <v>58</v>
      </c>
      <c r="B23">
        <v>30</v>
      </c>
      <c r="C23">
        <v>14</v>
      </c>
      <c r="D23">
        <v>44</v>
      </c>
      <c r="F23" t="s">
        <v>58</v>
      </c>
      <c r="G23">
        <v>30</v>
      </c>
      <c r="H23">
        <v>14</v>
      </c>
      <c r="I23" s="6">
        <v>-0.31686994893602682</v>
      </c>
      <c r="J23" s="10">
        <v>1.4228148148148143</v>
      </c>
    </row>
    <row r="24" spans="1:10" x14ac:dyDescent="0.35">
      <c r="A24" s="4" t="s">
        <v>68</v>
      </c>
      <c r="B24">
        <v>22952</v>
      </c>
      <c r="C24">
        <v>13923</v>
      </c>
      <c r="D24">
        <v>36875</v>
      </c>
      <c r="F24" t="s">
        <v>68</v>
      </c>
      <c r="G24">
        <v>22952</v>
      </c>
      <c r="H24">
        <v>13923</v>
      </c>
      <c r="I24" s="6">
        <v>-0.22114583989124292</v>
      </c>
      <c r="J24" s="10">
        <v>3107.9189666883244</v>
      </c>
    </row>
    <row r="25" spans="1:10" x14ac:dyDescent="0.35">
      <c r="A25" s="4" t="s">
        <v>81</v>
      </c>
      <c r="B25">
        <v>129249</v>
      </c>
      <c r="C25">
        <v>61823</v>
      </c>
      <c r="D25">
        <v>191072</v>
      </c>
      <c r="F25" t="s">
        <v>81</v>
      </c>
      <c r="G25">
        <v>129249</v>
      </c>
      <c r="H25">
        <v>61823</v>
      </c>
      <c r="I25" s="6">
        <v>-0.30838971671600357</v>
      </c>
      <c r="J25" s="10">
        <v>6765.7933319067015</v>
      </c>
    </row>
    <row r="26" spans="1:10" x14ac:dyDescent="0.35">
      <c r="A26" s="4" t="s">
        <v>59</v>
      </c>
      <c r="B26">
        <v>126</v>
      </c>
      <c r="C26">
        <v>39</v>
      </c>
      <c r="D26">
        <v>165</v>
      </c>
      <c r="F26" t="s">
        <v>59</v>
      </c>
      <c r="G26">
        <v>126</v>
      </c>
      <c r="H26">
        <v>39</v>
      </c>
      <c r="I26" s="6">
        <v>-0.44365135973581316</v>
      </c>
      <c r="J26" s="10">
        <v>1.1565030774214455</v>
      </c>
    </row>
    <row r="27" spans="1:10" x14ac:dyDescent="0.35">
      <c r="A27" s="4" t="s">
        <v>60</v>
      </c>
      <c r="B27">
        <v>33</v>
      </c>
      <c r="C27">
        <v>49</v>
      </c>
      <c r="D27">
        <v>82</v>
      </c>
      <c r="F27" t="s">
        <v>60</v>
      </c>
      <c r="G27">
        <v>33</v>
      </c>
      <c r="H27">
        <v>49</v>
      </c>
      <c r="I27" s="6">
        <v>0.2185435916898848</v>
      </c>
      <c r="J27" s="10">
        <v>160.41408576119315</v>
      </c>
    </row>
    <row r="28" spans="1:10" x14ac:dyDescent="0.35">
      <c r="A28" s="4" t="s">
        <v>61</v>
      </c>
      <c r="B28">
        <v>36</v>
      </c>
      <c r="C28">
        <v>138</v>
      </c>
      <c r="D28">
        <v>174</v>
      </c>
      <c r="F28" t="s">
        <v>61</v>
      </c>
      <c r="G28">
        <v>36</v>
      </c>
      <c r="H28">
        <v>138</v>
      </c>
      <c r="I28" s="6">
        <v>0.95789002074512175</v>
      </c>
      <c r="J28" s="10">
        <v>7773.3611111111131</v>
      </c>
    </row>
    <row r="29" spans="1:10" x14ac:dyDescent="0.35">
      <c r="A29" s="4" t="s">
        <v>62</v>
      </c>
      <c r="B29">
        <v>3</v>
      </c>
      <c r="C29">
        <v>3</v>
      </c>
      <c r="D29">
        <v>6</v>
      </c>
      <c r="F29" t="s">
        <v>62</v>
      </c>
      <c r="G29">
        <v>3</v>
      </c>
      <c r="H29">
        <v>3</v>
      </c>
      <c r="I29" s="6">
        <v>0</v>
      </c>
      <c r="J29" s="10">
        <v>3</v>
      </c>
    </row>
    <row r="30" spans="1:10" x14ac:dyDescent="0.35">
      <c r="A30" s="4" t="s">
        <v>69</v>
      </c>
      <c r="B30">
        <v>26159</v>
      </c>
      <c r="C30">
        <v>7969</v>
      </c>
      <c r="D30">
        <v>34128</v>
      </c>
      <c r="F30" t="s">
        <v>69</v>
      </c>
      <c r="G30">
        <v>26159</v>
      </c>
      <c r="H30">
        <v>7969</v>
      </c>
      <c r="I30" s="6">
        <v>-0.44806066691229129</v>
      </c>
      <c r="J30" s="10">
        <v>225.29517649813411</v>
      </c>
    </row>
    <row r="31" spans="1:10" x14ac:dyDescent="0.35">
      <c r="A31" s="4" t="s">
        <v>63</v>
      </c>
      <c r="B31">
        <v>1454</v>
      </c>
      <c r="C31">
        <v>1202</v>
      </c>
      <c r="D31">
        <v>2656</v>
      </c>
      <c r="F31" t="s">
        <v>63</v>
      </c>
      <c r="G31">
        <v>1454</v>
      </c>
      <c r="H31">
        <v>1202</v>
      </c>
      <c r="I31" s="6">
        <v>-9.0777801152227111E-2</v>
      </c>
      <c r="J31" s="10">
        <v>679.08580287054156</v>
      </c>
    </row>
    <row r="32" spans="1:10" x14ac:dyDescent="0.35">
      <c r="A32" s="4" t="s">
        <v>70</v>
      </c>
      <c r="B32">
        <v>7652</v>
      </c>
      <c r="C32">
        <v>3700</v>
      </c>
      <c r="D32">
        <v>11352</v>
      </c>
      <c r="F32" t="s">
        <v>70</v>
      </c>
      <c r="G32">
        <v>7652</v>
      </c>
      <c r="H32">
        <v>3700</v>
      </c>
      <c r="I32" s="6">
        <v>-0.30463411309197874</v>
      </c>
      <c r="J32" s="10">
        <v>418.2943631947843</v>
      </c>
    </row>
    <row r="33" spans="1:10" x14ac:dyDescent="0.35">
      <c r="A33" s="4" t="s">
        <v>82</v>
      </c>
      <c r="B33">
        <v>55600</v>
      </c>
      <c r="C33">
        <v>19018</v>
      </c>
      <c r="D33">
        <v>74618</v>
      </c>
      <c r="F33" t="s">
        <v>82</v>
      </c>
      <c r="G33">
        <v>55600</v>
      </c>
      <c r="H33">
        <v>19018</v>
      </c>
      <c r="I33" s="6">
        <v>-0.41514928425090369</v>
      </c>
      <c r="J33" s="10">
        <v>761.08821552950758</v>
      </c>
    </row>
    <row r="34" spans="1:10" x14ac:dyDescent="0.35">
      <c r="A34" s="4" t="s">
        <v>51</v>
      </c>
      <c r="B34">
        <v>0</v>
      </c>
      <c r="C34">
        <v>0</v>
      </c>
      <c r="D34">
        <v>0</v>
      </c>
      <c r="F34" t="s">
        <v>51</v>
      </c>
      <c r="G34">
        <v>0</v>
      </c>
      <c r="H34">
        <v>0</v>
      </c>
      <c r="I34" s="6" t="e">
        <v>#DIV/0!</v>
      </c>
      <c r="J34" s="10" t="e">
        <v>#DIV/0!</v>
      </c>
    </row>
    <row r="35" spans="1:10" x14ac:dyDescent="0.35">
      <c r="A35" s="4" t="s">
        <v>83</v>
      </c>
      <c r="B35">
        <v>64082</v>
      </c>
      <c r="C35">
        <v>31547</v>
      </c>
      <c r="D35">
        <v>95629</v>
      </c>
      <c r="F35" t="s">
        <v>83</v>
      </c>
      <c r="G35">
        <v>64082</v>
      </c>
      <c r="H35">
        <v>31547</v>
      </c>
      <c r="I35" s="6">
        <v>-0.29836538925624578</v>
      </c>
      <c r="J35" s="10">
        <v>3763.7787876032853</v>
      </c>
    </row>
    <row r="36" spans="1:10" x14ac:dyDescent="0.35">
      <c r="A36" s="4" t="s">
        <v>64</v>
      </c>
      <c r="B36">
        <v>196</v>
      </c>
      <c r="C36">
        <v>78</v>
      </c>
      <c r="D36">
        <v>274</v>
      </c>
      <c r="F36" t="s">
        <v>64</v>
      </c>
      <c r="G36">
        <v>196</v>
      </c>
      <c r="H36">
        <v>78</v>
      </c>
      <c r="I36" s="6">
        <v>-0.36915993811943948</v>
      </c>
      <c r="J36" s="10">
        <v>4.915981011313316</v>
      </c>
    </row>
    <row r="37" spans="1:10" x14ac:dyDescent="0.35">
      <c r="A37" s="4" t="s">
        <v>84</v>
      </c>
      <c r="B37">
        <v>23791</v>
      </c>
      <c r="C37">
        <v>21206</v>
      </c>
      <c r="D37">
        <v>44997</v>
      </c>
      <c r="F37" t="s">
        <v>84</v>
      </c>
      <c r="G37">
        <v>23791</v>
      </c>
      <c r="H37">
        <v>21206</v>
      </c>
      <c r="I37" s="6">
        <v>-5.5889060134800883E-2</v>
      </c>
      <c r="J37" s="10">
        <v>15017.475680276617</v>
      </c>
    </row>
    <row r="38" spans="1:10" x14ac:dyDescent="0.35">
      <c r="A38" s="4" t="s">
        <v>71</v>
      </c>
      <c r="B38">
        <v>6081</v>
      </c>
      <c r="C38">
        <v>1707</v>
      </c>
      <c r="D38">
        <v>7788</v>
      </c>
      <c r="F38" t="s">
        <v>71</v>
      </c>
      <c r="G38">
        <v>6081</v>
      </c>
      <c r="H38">
        <v>1707</v>
      </c>
      <c r="I38" s="6">
        <v>-0.47017888917850181</v>
      </c>
      <c r="J38" s="10">
        <v>37.758008006380159</v>
      </c>
    </row>
    <row r="39" spans="1:10" x14ac:dyDescent="0.35">
      <c r="A39" s="4" t="s">
        <v>85</v>
      </c>
      <c r="B39">
        <v>9363</v>
      </c>
      <c r="C39">
        <v>6000</v>
      </c>
      <c r="D39">
        <v>15363</v>
      </c>
      <c r="F39" t="s">
        <v>85</v>
      </c>
      <c r="G39">
        <v>9363</v>
      </c>
      <c r="H39">
        <v>6000</v>
      </c>
      <c r="I39" s="6">
        <v>-0.19948750795512415</v>
      </c>
      <c r="J39" s="10">
        <v>1578.9192926910594</v>
      </c>
    </row>
    <row r="40" spans="1:10" x14ac:dyDescent="0.35">
      <c r="A40" s="4" t="s">
        <v>87</v>
      </c>
      <c r="B40">
        <v>669260</v>
      </c>
      <c r="C40">
        <v>316705</v>
      </c>
      <c r="D40">
        <v>985965</v>
      </c>
    </row>
    <row r="44" spans="1:10" x14ac:dyDescent="0.35">
      <c r="B44" t="s">
        <v>103</v>
      </c>
      <c r="C44">
        <v>2022</v>
      </c>
      <c r="D44">
        <v>2024</v>
      </c>
      <c r="E44" t="s">
        <v>123</v>
      </c>
      <c r="F44">
        <v>2030</v>
      </c>
    </row>
    <row r="45" spans="1:10" x14ac:dyDescent="0.35">
      <c r="B45" t="s">
        <v>84</v>
      </c>
      <c r="C45">
        <v>23791</v>
      </c>
      <c r="D45">
        <v>21206</v>
      </c>
      <c r="E45" s="6">
        <v>-5.5889060134800883E-2</v>
      </c>
      <c r="F45" s="10">
        <v>15017.475680276617</v>
      </c>
    </row>
    <row r="46" spans="1:10" x14ac:dyDescent="0.35">
      <c r="B46" t="s">
        <v>79</v>
      </c>
      <c r="C46">
        <v>91247</v>
      </c>
      <c r="D46">
        <v>51247</v>
      </c>
      <c r="E46" s="6">
        <v>-0.25058060911589752</v>
      </c>
      <c r="F46" s="10">
        <v>9078.5816389710362</v>
      </c>
    </row>
    <row r="47" spans="1:10" x14ac:dyDescent="0.35">
      <c r="B47" t="s">
        <v>61</v>
      </c>
      <c r="C47">
        <v>36</v>
      </c>
      <c r="D47">
        <v>138</v>
      </c>
      <c r="E47" s="6">
        <v>0.95789002074512175</v>
      </c>
      <c r="F47" s="10">
        <v>7773.3611111111131</v>
      </c>
    </row>
    <row r="48" spans="1:10" x14ac:dyDescent="0.35">
      <c r="B48" t="s">
        <v>81</v>
      </c>
      <c r="C48">
        <v>129249</v>
      </c>
      <c r="D48">
        <v>61823</v>
      </c>
      <c r="E48" s="6">
        <v>-0.30838971671600357</v>
      </c>
      <c r="F48" s="10">
        <v>6765.7933319067015</v>
      </c>
    </row>
    <row r="49" spans="2:6" x14ac:dyDescent="0.35">
      <c r="B49" t="s">
        <v>80</v>
      </c>
      <c r="C49">
        <v>37258</v>
      </c>
      <c r="D49">
        <v>22533</v>
      </c>
      <c r="E49" s="6">
        <v>-0.22232213261217515</v>
      </c>
      <c r="F49" s="10">
        <v>4984.4523853164774</v>
      </c>
    </row>
    <row r="50" spans="2:6" x14ac:dyDescent="0.35">
      <c r="B50" t="s">
        <v>83</v>
      </c>
      <c r="C50">
        <v>64082</v>
      </c>
      <c r="D50">
        <v>31547</v>
      </c>
      <c r="E50" s="6">
        <v>-0.29836538925624578</v>
      </c>
      <c r="F50" s="10">
        <v>3763.7787876032853</v>
      </c>
    </row>
    <row r="51" spans="2:6" x14ac:dyDescent="0.35">
      <c r="B51" t="s">
        <v>68</v>
      </c>
      <c r="C51">
        <v>22952</v>
      </c>
      <c r="D51">
        <v>13923</v>
      </c>
      <c r="E51" s="6">
        <v>-0.22114583989124292</v>
      </c>
      <c r="F51" s="10">
        <v>3107.9189666883244</v>
      </c>
    </row>
    <row r="52" spans="2:6" x14ac:dyDescent="0.35">
      <c r="B52" t="s">
        <v>85</v>
      </c>
      <c r="C52">
        <v>9363</v>
      </c>
      <c r="D52">
        <v>6000</v>
      </c>
      <c r="E52" s="6">
        <v>-0.19948750795512415</v>
      </c>
      <c r="F52" s="10">
        <v>1578.9192926910594</v>
      </c>
    </row>
    <row r="53" spans="2:6" x14ac:dyDescent="0.35">
      <c r="B53" t="s">
        <v>77</v>
      </c>
      <c r="C53">
        <v>5616</v>
      </c>
      <c r="D53">
        <v>3875</v>
      </c>
      <c r="E53" s="6">
        <v>-0.16934190096473656</v>
      </c>
      <c r="F53" s="10">
        <v>1272.9329547338407</v>
      </c>
    </row>
    <row r="54" spans="2:6" x14ac:dyDescent="0.35">
      <c r="B54" t="s">
        <v>53</v>
      </c>
      <c r="C54">
        <v>2</v>
      </c>
      <c r="D54">
        <v>10</v>
      </c>
      <c r="E54" s="6">
        <v>1.2360679774997898</v>
      </c>
      <c r="F54" s="10">
        <v>1250.0000000000005</v>
      </c>
    </row>
    <row r="55" spans="2:6" x14ac:dyDescent="0.35">
      <c r="B55" t="s">
        <v>76</v>
      </c>
      <c r="C55">
        <v>28050</v>
      </c>
      <c r="D55">
        <v>12638</v>
      </c>
      <c r="E55" s="6">
        <v>-0.32876786081845599</v>
      </c>
      <c r="F55" s="10">
        <v>1155.8854775726768</v>
      </c>
    </row>
    <row r="56" spans="2:6" x14ac:dyDescent="0.35">
      <c r="B56" t="s">
        <v>55</v>
      </c>
      <c r="C56">
        <v>16760</v>
      </c>
      <c r="D56">
        <v>8485</v>
      </c>
      <c r="E56" s="6">
        <v>-0.28847704431425381</v>
      </c>
      <c r="F56" s="10">
        <v>1100.9949924898747</v>
      </c>
    </row>
    <row r="57" spans="2:6" x14ac:dyDescent="0.35">
      <c r="B57" t="s">
        <v>65</v>
      </c>
      <c r="C57">
        <v>10071</v>
      </c>
      <c r="D57">
        <v>5401</v>
      </c>
      <c r="E57" s="6">
        <v>-0.26768017608692452</v>
      </c>
      <c r="F57" s="10">
        <v>833.06506255658587</v>
      </c>
    </row>
    <row r="58" spans="2:6" x14ac:dyDescent="0.35">
      <c r="B58" t="s">
        <v>82</v>
      </c>
      <c r="C58">
        <v>55600</v>
      </c>
      <c r="D58">
        <v>19018</v>
      </c>
      <c r="E58" s="6">
        <v>-0.41514928425090369</v>
      </c>
      <c r="F58" s="10">
        <v>761.08821552950758</v>
      </c>
    </row>
    <row r="59" spans="2:6" x14ac:dyDescent="0.35">
      <c r="B59" t="s">
        <v>63</v>
      </c>
      <c r="C59">
        <v>1454</v>
      </c>
      <c r="D59">
        <v>1202</v>
      </c>
      <c r="E59" s="6">
        <v>-9.0777801152227111E-2</v>
      </c>
      <c r="F59" s="10">
        <v>679.08580287054156</v>
      </c>
    </row>
    <row r="60" spans="2:6" x14ac:dyDescent="0.35">
      <c r="B60" t="s">
        <v>78</v>
      </c>
      <c r="C60">
        <v>67388</v>
      </c>
      <c r="D60">
        <v>20688</v>
      </c>
      <c r="E60" s="6">
        <v>-0.44592574628911463</v>
      </c>
      <c r="F60" s="10">
        <v>598.5856877107534</v>
      </c>
    </row>
    <row r="61" spans="2:6" x14ac:dyDescent="0.35">
      <c r="B61" t="s">
        <v>67</v>
      </c>
      <c r="C61">
        <v>40238</v>
      </c>
      <c r="D61">
        <v>13277</v>
      </c>
      <c r="E61" s="6">
        <v>-0.42557704805599417</v>
      </c>
      <c r="F61" s="10">
        <v>476.96955856796859</v>
      </c>
    </row>
    <row r="62" spans="2:6" x14ac:dyDescent="0.35">
      <c r="B62" t="s">
        <v>54</v>
      </c>
      <c r="C62">
        <v>1984</v>
      </c>
      <c r="D62">
        <v>1364</v>
      </c>
      <c r="E62" s="6">
        <v>-0.17084380241115005</v>
      </c>
      <c r="F62" s="10">
        <v>443.2333984375</v>
      </c>
    </row>
    <row r="63" spans="2:6" x14ac:dyDescent="0.35">
      <c r="B63" t="s">
        <v>70</v>
      </c>
      <c r="C63">
        <v>7652</v>
      </c>
      <c r="D63">
        <v>3700</v>
      </c>
      <c r="E63" s="6">
        <v>-0.30463411309197874</v>
      </c>
      <c r="F63" s="10">
        <v>418.2943631947843</v>
      </c>
    </row>
    <row r="64" spans="2:6" x14ac:dyDescent="0.35">
      <c r="B64" t="s">
        <v>66</v>
      </c>
      <c r="C64">
        <v>1129</v>
      </c>
      <c r="D64">
        <v>763</v>
      </c>
      <c r="E64" s="6">
        <v>-0.17791769930066137</v>
      </c>
      <c r="F64" s="10">
        <v>235.51378168246583</v>
      </c>
    </row>
    <row r="65" spans="2:6" x14ac:dyDescent="0.35">
      <c r="B65" t="s">
        <v>74</v>
      </c>
      <c r="C65">
        <v>12529</v>
      </c>
      <c r="D65">
        <v>4620</v>
      </c>
      <c r="E65" s="6">
        <v>-0.39275662808848599</v>
      </c>
      <c r="F65" s="10">
        <v>231.64272994187397</v>
      </c>
    </row>
    <row r="66" spans="2:6" x14ac:dyDescent="0.35">
      <c r="B66" t="s">
        <v>69</v>
      </c>
      <c r="C66">
        <v>26159</v>
      </c>
      <c r="D66">
        <v>7969</v>
      </c>
      <c r="E66" s="6">
        <v>-0.44806066691229129</v>
      </c>
      <c r="F66" s="10">
        <v>225.29517649813411</v>
      </c>
    </row>
    <row r="67" spans="2:6" x14ac:dyDescent="0.35">
      <c r="B67" t="s">
        <v>60</v>
      </c>
      <c r="C67">
        <v>33</v>
      </c>
      <c r="D67">
        <v>49</v>
      </c>
      <c r="E67" s="6">
        <v>0.2185435916898848</v>
      </c>
      <c r="F67" s="10">
        <v>160.41408576119315</v>
      </c>
    </row>
    <row r="68" spans="2:6" x14ac:dyDescent="0.35">
      <c r="B68" t="s">
        <v>75</v>
      </c>
      <c r="C68">
        <v>6887</v>
      </c>
      <c r="D68">
        <v>2208</v>
      </c>
      <c r="E68" s="6">
        <v>-0.4337809287999228</v>
      </c>
      <c r="F68" s="10">
        <v>72.762234443262699</v>
      </c>
    </row>
    <row r="69" spans="2:6" x14ac:dyDescent="0.35">
      <c r="B69" t="s">
        <v>56</v>
      </c>
      <c r="C69">
        <v>103</v>
      </c>
      <c r="D69">
        <v>92</v>
      </c>
      <c r="E69" s="6">
        <v>-5.4905357387343146E-2</v>
      </c>
      <c r="F69" s="10">
        <v>65.560104216332164</v>
      </c>
    </row>
    <row r="70" spans="2:6" x14ac:dyDescent="0.35">
      <c r="B70" t="s">
        <v>57</v>
      </c>
      <c r="C70">
        <v>2180</v>
      </c>
      <c r="D70">
        <v>801</v>
      </c>
      <c r="E70" s="6">
        <v>-0.39383897134461832</v>
      </c>
      <c r="F70" s="10">
        <v>39.733844107062467</v>
      </c>
    </row>
    <row r="71" spans="2:6" x14ac:dyDescent="0.35">
      <c r="B71" t="s">
        <v>71</v>
      </c>
      <c r="C71">
        <v>6081</v>
      </c>
      <c r="D71">
        <v>1707</v>
      </c>
      <c r="E71" s="6">
        <v>-0.47017888917850181</v>
      </c>
      <c r="F71" s="10">
        <v>37.758008006380159</v>
      </c>
    </row>
    <row r="72" spans="2:6" x14ac:dyDescent="0.35">
      <c r="B72" t="s">
        <v>72</v>
      </c>
      <c r="C72">
        <v>988</v>
      </c>
      <c r="D72">
        <v>276</v>
      </c>
      <c r="E72" s="6">
        <v>-0.47146218042542332</v>
      </c>
      <c r="F72" s="10">
        <v>6.0167988754297435</v>
      </c>
    </row>
    <row r="73" spans="2:6" x14ac:dyDescent="0.35">
      <c r="B73" t="s">
        <v>64</v>
      </c>
      <c r="C73">
        <v>196</v>
      </c>
      <c r="D73">
        <v>78</v>
      </c>
      <c r="E73" s="6">
        <v>-0.36915993811943948</v>
      </c>
      <c r="F73" s="10">
        <v>4.915981011313316</v>
      </c>
    </row>
    <row r="74" spans="2:6" x14ac:dyDescent="0.35">
      <c r="B74" t="s">
        <v>62</v>
      </c>
      <c r="C74">
        <v>3</v>
      </c>
      <c r="D74">
        <v>3</v>
      </c>
      <c r="E74" s="6">
        <v>0</v>
      </c>
      <c r="F74" s="10">
        <v>3</v>
      </c>
    </row>
    <row r="75" spans="2:6" x14ac:dyDescent="0.35">
      <c r="B75" t="s">
        <v>58</v>
      </c>
      <c r="C75">
        <v>30</v>
      </c>
      <c r="D75">
        <v>14</v>
      </c>
      <c r="E75" s="6">
        <v>-0.31686994893602682</v>
      </c>
      <c r="F75" s="10">
        <v>1.4228148148148143</v>
      </c>
    </row>
    <row r="76" spans="2:6" x14ac:dyDescent="0.35">
      <c r="B76" t="s">
        <v>59</v>
      </c>
      <c r="C76">
        <v>126</v>
      </c>
      <c r="D76">
        <v>39</v>
      </c>
      <c r="E76" s="6">
        <v>-0.44365135973581316</v>
      </c>
      <c r="F76" s="10">
        <v>1.1565030774214455</v>
      </c>
    </row>
    <row r="77" spans="2:6" x14ac:dyDescent="0.35">
      <c r="B77" t="s">
        <v>52</v>
      </c>
      <c r="C77">
        <v>23</v>
      </c>
      <c r="D77">
        <v>9</v>
      </c>
      <c r="E77" s="6">
        <v>-0.37445675782877574</v>
      </c>
      <c r="F77" s="10">
        <v>0.53924550012328409</v>
      </c>
    </row>
  </sheetData>
  <sortState xmlns:xlrd2="http://schemas.microsoft.com/office/spreadsheetml/2017/richdata2" ref="B45:F77">
    <sortCondition descending="1" ref="F45:F77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DC2C6-2A8A-4B6A-B039-7CDA787DFA20}">
  <dimension ref="H7:J10"/>
  <sheetViews>
    <sheetView topLeftCell="B1" workbookViewId="0">
      <selection activeCell="I20" sqref="I20"/>
    </sheetView>
  </sheetViews>
  <sheetFormatPr defaultRowHeight="14.5" x14ac:dyDescent="0.35"/>
  <cols>
    <col min="8" max="8" width="10.36328125" bestFit="1" customWidth="1"/>
    <col min="9" max="10" width="17.1796875" bestFit="1" customWidth="1"/>
  </cols>
  <sheetData>
    <row r="7" spans="8:10" x14ac:dyDescent="0.35">
      <c r="H7" s="25" t="s">
        <v>152</v>
      </c>
      <c r="I7" s="25"/>
      <c r="J7" s="25"/>
    </row>
    <row r="8" spans="8:10" x14ac:dyDescent="0.35">
      <c r="H8" s="5" t="s">
        <v>149</v>
      </c>
      <c r="I8" s="5" t="s">
        <v>150</v>
      </c>
      <c r="J8" s="5" t="s">
        <v>151</v>
      </c>
    </row>
    <row r="9" spans="8:10" x14ac:dyDescent="0.35">
      <c r="H9" s="5" t="s">
        <v>21</v>
      </c>
      <c r="I9" s="7">
        <v>-0.53586493210160202</v>
      </c>
      <c r="J9" s="7">
        <v>-0.65814811702589526</v>
      </c>
    </row>
    <row r="10" spans="8:10" x14ac:dyDescent="0.35">
      <c r="H10" s="5" t="s">
        <v>24</v>
      </c>
      <c r="I10" s="7">
        <v>-0.37663086193345557</v>
      </c>
      <c r="J10" s="7">
        <v>-0.70302417593389999</v>
      </c>
    </row>
  </sheetData>
  <mergeCells count="1">
    <mergeCell ref="H7:J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AFE8A-4F8D-431F-9897-7F8C543BE26D}">
  <dimension ref="A1:F17"/>
  <sheetViews>
    <sheetView workbookViewId="0">
      <selection activeCell="E13" sqref="E13"/>
    </sheetView>
  </sheetViews>
  <sheetFormatPr defaultRowHeight="14.5" x14ac:dyDescent="0.35"/>
  <cols>
    <col min="1" max="1" width="14.7265625" bestFit="1" customWidth="1"/>
    <col min="2" max="2" width="25.453125" bestFit="1" customWidth="1"/>
    <col min="3" max="3" width="17.1796875" bestFit="1" customWidth="1"/>
    <col min="4" max="4" width="14.7265625" bestFit="1" customWidth="1"/>
    <col min="5" max="5" width="25.453125" bestFit="1" customWidth="1"/>
    <col min="6" max="6" width="11.81640625" bestFit="1" customWidth="1"/>
    <col min="7" max="36" width="15.26953125" bestFit="1" customWidth="1"/>
    <col min="37" max="37" width="10.7265625" bestFit="1" customWidth="1"/>
  </cols>
  <sheetData>
    <row r="1" spans="1:6" x14ac:dyDescent="0.35">
      <c r="A1" s="3" t="s">
        <v>18</v>
      </c>
      <c r="B1" t="s" vm="3">
        <v>21</v>
      </c>
      <c r="D1" s="3" t="s">
        <v>18</v>
      </c>
      <c r="E1" t="s" vm="2">
        <v>24</v>
      </c>
    </row>
    <row r="3" spans="1:6" x14ac:dyDescent="0.35">
      <c r="A3" s="3" t="s">
        <v>86</v>
      </c>
      <c r="B3" t="s">
        <v>88</v>
      </c>
      <c r="C3" t="s">
        <v>144</v>
      </c>
      <c r="D3" s="3" t="s">
        <v>86</v>
      </c>
      <c r="E3" t="s">
        <v>88</v>
      </c>
    </row>
    <row r="4" spans="1:6" x14ac:dyDescent="0.35">
      <c r="A4" s="4" t="s">
        <v>89</v>
      </c>
      <c r="B4">
        <v>631090</v>
      </c>
      <c r="C4">
        <f>B4*85000</f>
        <v>53642650000</v>
      </c>
      <c r="D4" s="4" t="s">
        <v>89</v>
      </c>
      <c r="E4">
        <v>38170</v>
      </c>
      <c r="F4">
        <f>E4*1500000</f>
        <v>57255000000</v>
      </c>
    </row>
    <row r="5" spans="1:6" x14ac:dyDescent="0.35">
      <c r="A5" s="4" t="s">
        <v>90</v>
      </c>
      <c r="B5">
        <v>856836</v>
      </c>
      <c r="C5">
        <f>B5*85000</f>
        <v>72831060000</v>
      </c>
      <c r="D5" s="4" t="s">
        <v>90</v>
      </c>
      <c r="E5">
        <v>80121</v>
      </c>
      <c r="F5">
        <f>E5*1500000</f>
        <v>120181500000</v>
      </c>
    </row>
    <row r="6" spans="1:6" x14ac:dyDescent="0.35">
      <c r="A6" s="4" t="s">
        <v>91</v>
      </c>
      <c r="B6">
        <v>292911</v>
      </c>
      <c r="C6">
        <f>B6*85000</f>
        <v>24897435000</v>
      </c>
      <c r="D6" s="4" t="s">
        <v>91</v>
      </c>
      <c r="E6">
        <v>23794</v>
      </c>
      <c r="F6">
        <f>E6*1500000</f>
        <v>35691000000</v>
      </c>
    </row>
    <row r="7" spans="1:6" x14ac:dyDescent="0.35">
      <c r="A7" s="4" t="s">
        <v>87</v>
      </c>
      <c r="B7">
        <v>1780837</v>
      </c>
      <c r="D7" s="4" t="s">
        <v>87</v>
      </c>
      <c r="E7">
        <v>142085</v>
      </c>
    </row>
    <row r="9" spans="1:6" x14ac:dyDescent="0.35">
      <c r="B9" t="s">
        <v>145</v>
      </c>
      <c r="C9" t="s">
        <v>146</v>
      </c>
      <c r="D9" s="4" t="s">
        <v>144</v>
      </c>
      <c r="E9" t="s">
        <v>147</v>
      </c>
      <c r="F9" t="s">
        <v>148</v>
      </c>
    </row>
    <row r="10" spans="1:6" x14ac:dyDescent="0.35">
      <c r="B10" t="str">
        <f t="shared" ref="B10:D12" si="0">A4</f>
        <v>2022</v>
      </c>
      <c r="C10">
        <f t="shared" si="0"/>
        <v>631090</v>
      </c>
      <c r="D10">
        <f t="shared" si="0"/>
        <v>53642650000</v>
      </c>
      <c r="E10">
        <f t="shared" ref="E10:F12" si="1">E4</f>
        <v>38170</v>
      </c>
      <c r="F10">
        <f t="shared" si="1"/>
        <v>57255000000</v>
      </c>
    </row>
    <row r="11" spans="1:6" x14ac:dyDescent="0.35">
      <c r="B11" t="str">
        <f t="shared" si="0"/>
        <v>2023</v>
      </c>
      <c r="C11">
        <f t="shared" si="0"/>
        <v>856836</v>
      </c>
      <c r="D11">
        <f t="shared" si="0"/>
        <v>72831060000</v>
      </c>
      <c r="E11">
        <f t="shared" si="1"/>
        <v>80121</v>
      </c>
      <c r="F11">
        <f t="shared" si="1"/>
        <v>120181500000</v>
      </c>
    </row>
    <row r="12" spans="1:6" x14ac:dyDescent="0.35">
      <c r="B12" t="str">
        <f t="shared" si="0"/>
        <v>2024</v>
      </c>
      <c r="C12">
        <f t="shared" si="0"/>
        <v>292911</v>
      </c>
      <c r="D12">
        <f t="shared" si="0"/>
        <v>24897435000</v>
      </c>
      <c r="E12">
        <f t="shared" si="1"/>
        <v>23794</v>
      </c>
      <c r="F12">
        <f t="shared" si="1"/>
        <v>35691000000</v>
      </c>
    </row>
    <row r="15" spans="1:6" x14ac:dyDescent="0.35">
      <c r="A15" t="s">
        <v>149</v>
      </c>
      <c r="B15" t="s">
        <v>150</v>
      </c>
      <c r="C15" t="s">
        <v>151</v>
      </c>
    </row>
    <row r="16" spans="1:6" x14ac:dyDescent="0.35">
      <c r="A16" t="s">
        <v>21</v>
      </c>
      <c r="B16" s="6">
        <v>-0.53586493210160202</v>
      </c>
      <c r="C16" s="6">
        <v>-0.65814811702589526</v>
      </c>
    </row>
    <row r="17" spans="1:3" x14ac:dyDescent="0.35">
      <c r="A17" t="s">
        <v>24</v>
      </c>
      <c r="B17" s="6">
        <v>-0.37663086193345557</v>
      </c>
      <c r="C17" s="6">
        <v>-0.70302417593389999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34B21-E9F2-4FBD-9630-DB23186D224D}">
  <dimension ref="C12"/>
  <sheetViews>
    <sheetView zoomScale="80" zoomScaleNormal="80" workbookViewId="0">
      <selection activeCell="U4" sqref="U4"/>
    </sheetView>
  </sheetViews>
  <sheetFormatPr defaultRowHeight="14.5" x14ac:dyDescent="0.35"/>
  <sheetData>
    <row r="12" spans="3:3" ht="16.5" x14ac:dyDescent="0.45">
      <c r="C12" s="24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7F046-9E3E-4FC7-ABF0-1522D67695D3}">
  <dimension ref="A3:AG170"/>
  <sheetViews>
    <sheetView zoomScale="79" zoomScaleNormal="118" workbookViewId="0">
      <selection activeCell="F20" sqref="F20"/>
    </sheetView>
  </sheetViews>
  <sheetFormatPr defaultRowHeight="14.5" x14ac:dyDescent="0.35"/>
  <cols>
    <col min="1" max="1" width="15.36328125" bestFit="1" customWidth="1"/>
    <col min="2" max="2" width="25.453125" bestFit="1" customWidth="1"/>
    <col min="3" max="3" width="23.36328125" bestFit="1" customWidth="1"/>
    <col min="4" max="4" width="25.453125" bestFit="1" customWidth="1"/>
    <col min="5" max="5" width="13" bestFit="1" customWidth="1"/>
    <col min="6" max="6" width="10.7265625" bestFit="1" customWidth="1"/>
    <col min="9" max="9" width="23.36328125" bestFit="1" customWidth="1"/>
    <col min="10" max="10" width="7.1796875" bestFit="1" customWidth="1"/>
    <col min="11" max="11" width="9.54296875" customWidth="1"/>
    <col min="12" max="12" width="23.36328125" bestFit="1" customWidth="1"/>
    <col min="13" max="13" width="11.26953125" bestFit="1" customWidth="1"/>
    <col min="23" max="23" width="23.36328125" bestFit="1" customWidth="1"/>
    <col min="24" max="24" width="17.90625" bestFit="1" customWidth="1"/>
    <col min="27" max="27" width="18.54296875" bestFit="1" customWidth="1"/>
    <col min="28" max="28" width="25.453125" bestFit="1" customWidth="1"/>
    <col min="31" max="31" width="18.7265625" bestFit="1" customWidth="1"/>
    <col min="32" max="32" width="8.08984375" bestFit="1" customWidth="1"/>
    <col min="33" max="33" width="10.6328125" bestFit="1" customWidth="1"/>
  </cols>
  <sheetData>
    <row r="3" spans="1:13" x14ac:dyDescent="0.35">
      <c r="A3" t="s">
        <v>88</v>
      </c>
      <c r="D3" s="3" t="s">
        <v>113</v>
      </c>
      <c r="I3" s="25" t="s">
        <v>158</v>
      </c>
      <c r="J3" s="25"/>
      <c r="K3" s="25"/>
      <c r="L3" s="25"/>
      <c r="M3" s="25"/>
    </row>
    <row r="4" spans="1:13" x14ac:dyDescent="0.35">
      <c r="A4">
        <v>2066111</v>
      </c>
      <c r="D4" t="s">
        <v>90</v>
      </c>
      <c r="E4" t="s">
        <v>91</v>
      </c>
      <c r="F4" t="s">
        <v>87</v>
      </c>
      <c r="I4" s="5" t="s">
        <v>154</v>
      </c>
      <c r="J4" s="5" t="s">
        <v>155</v>
      </c>
      <c r="K4" s="5" t="s">
        <v>156</v>
      </c>
      <c r="L4" s="5" t="s">
        <v>157</v>
      </c>
      <c r="M4" s="5" t="s">
        <v>123</v>
      </c>
    </row>
    <row r="5" spans="1:13" x14ac:dyDescent="0.35">
      <c r="C5" t="s">
        <v>88</v>
      </c>
      <c r="D5">
        <v>936957</v>
      </c>
      <c r="E5">
        <v>316705</v>
      </c>
      <c r="F5">
        <v>1253662</v>
      </c>
      <c r="I5" s="14">
        <f>A4</f>
        <v>2066111</v>
      </c>
      <c r="J5" s="12">
        <f>D7</f>
        <v>-66.198555536700184</v>
      </c>
      <c r="K5" s="12">
        <f>B12</f>
        <v>3.6108037413047396</v>
      </c>
      <c r="L5" s="13" t="str">
        <f>A19</f>
        <v>Maharashtra</v>
      </c>
      <c r="M5" s="7">
        <f>B26</f>
        <v>-0.3120925301414218</v>
      </c>
    </row>
    <row r="7" spans="1:13" x14ac:dyDescent="0.35">
      <c r="C7" t="s">
        <v>153</v>
      </c>
      <c r="D7" s="9">
        <f>(E5-D5)/D5*100</f>
        <v>-66.198555536700184</v>
      </c>
    </row>
    <row r="9" spans="1:13" x14ac:dyDescent="0.35">
      <c r="A9" t="s">
        <v>88</v>
      </c>
      <c r="B9" t="s">
        <v>102</v>
      </c>
    </row>
    <row r="10" spans="1:13" x14ac:dyDescent="0.35">
      <c r="A10">
        <v>2066111</v>
      </c>
      <c r="B10">
        <v>57220252</v>
      </c>
    </row>
    <row r="12" spans="1:13" x14ac:dyDescent="0.35">
      <c r="B12" s="9">
        <f>(A10/B10)*100</f>
        <v>3.6108037413047396</v>
      </c>
    </row>
    <row r="14" spans="1:13" x14ac:dyDescent="0.35">
      <c r="A14" t="s">
        <v>88</v>
      </c>
    </row>
    <row r="15" spans="1:13" x14ac:dyDescent="0.35">
      <c r="A15">
        <v>2066111</v>
      </c>
    </row>
    <row r="18" spans="1:21" x14ac:dyDescent="0.35">
      <c r="A18" s="3" t="s">
        <v>86</v>
      </c>
      <c r="B18" t="s">
        <v>88</v>
      </c>
    </row>
    <row r="19" spans="1:21" x14ac:dyDescent="0.35">
      <c r="A19" s="4" t="s">
        <v>81</v>
      </c>
      <c r="B19" s="15">
        <v>396045</v>
      </c>
    </row>
    <row r="20" spans="1:21" x14ac:dyDescent="0.35">
      <c r="A20" s="4" t="s">
        <v>87</v>
      </c>
      <c r="B20">
        <v>396045</v>
      </c>
    </row>
    <row r="22" spans="1:21" x14ac:dyDescent="0.35">
      <c r="B22" s="3" t="s">
        <v>113</v>
      </c>
    </row>
    <row r="23" spans="1:21" x14ac:dyDescent="0.35">
      <c r="B23" t="s">
        <v>89</v>
      </c>
      <c r="C23" t="s">
        <v>91</v>
      </c>
      <c r="D23" t="s">
        <v>87</v>
      </c>
    </row>
    <row r="24" spans="1:21" x14ac:dyDescent="0.35">
      <c r="A24" t="s">
        <v>88</v>
      </c>
      <c r="B24">
        <v>669260</v>
      </c>
      <c r="C24">
        <v>316705</v>
      </c>
      <c r="D24">
        <v>985965</v>
      </c>
    </row>
    <row r="26" spans="1:21" x14ac:dyDescent="0.35">
      <c r="B26" s="6">
        <f>(C24/B24)^(1/2)-1</f>
        <v>-0.3120925301414218</v>
      </c>
    </row>
    <row r="30" spans="1:21" x14ac:dyDescent="0.35">
      <c r="A30" s="3" t="s">
        <v>86</v>
      </c>
      <c r="B30" t="s">
        <v>88</v>
      </c>
      <c r="C30" t="s">
        <v>102</v>
      </c>
      <c r="D30" t="s">
        <v>159</v>
      </c>
      <c r="I30" t="s">
        <v>103</v>
      </c>
      <c r="J30" t="s">
        <v>160</v>
      </c>
      <c r="K30" t="s">
        <v>161</v>
      </c>
      <c r="L30" t="s">
        <v>105</v>
      </c>
      <c r="N30" t="s">
        <v>103</v>
      </c>
      <c r="O30" t="s">
        <v>160</v>
      </c>
      <c r="P30" t="s">
        <v>161</v>
      </c>
      <c r="Q30" t="s">
        <v>105</v>
      </c>
      <c r="T30" t="str">
        <f t="shared" ref="T30:T35" si="0">N30</f>
        <v>State</v>
      </c>
      <c r="U30" s="6" t="str">
        <f t="shared" ref="U30:U35" si="1">Q30</f>
        <v>Penetration Rate</v>
      </c>
    </row>
    <row r="31" spans="1:21" x14ac:dyDescent="0.35">
      <c r="A31" s="4" t="s">
        <v>73</v>
      </c>
      <c r="B31">
        <v>2</v>
      </c>
      <c r="C31">
        <v>660</v>
      </c>
      <c r="D31" s="6">
        <f>B31/C31</f>
        <v>3.0303030303030303E-3</v>
      </c>
      <c r="F31" s="6">
        <f>B31/C31</f>
        <v>3.0303030303030303E-3</v>
      </c>
      <c r="I31" t="str">
        <f t="shared" ref="I31:I65" si="2">A31</f>
        <v>Andaman &amp; Nicobar</v>
      </c>
      <c r="J31">
        <f t="shared" ref="J31:J65" si="3">B31</f>
        <v>2</v>
      </c>
      <c r="K31">
        <f t="shared" ref="K31:K65" si="4">C31</f>
        <v>660</v>
      </c>
      <c r="L31" s="6">
        <f t="shared" ref="L31:L65" si="5">D31</f>
        <v>3.0303030303030303E-3</v>
      </c>
      <c r="N31" t="s">
        <v>77</v>
      </c>
      <c r="O31">
        <v>19684</v>
      </c>
      <c r="P31">
        <v>199970</v>
      </c>
      <c r="Q31" s="6">
        <v>9.8434765214782213E-2</v>
      </c>
      <c r="T31" t="str">
        <f t="shared" si="0"/>
        <v>Goa</v>
      </c>
      <c r="U31" s="6">
        <f t="shared" si="1"/>
        <v>9.8434765214782213E-2</v>
      </c>
    </row>
    <row r="32" spans="1:21" x14ac:dyDescent="0.35">
      <c r="A32" s="4" t="s">
        <v>52</v>
      </c>
      <c r="B32">
        <v>78</v>
      </c>
      <c r="C32">
        <v>18225</v>
      </c>
      <c r="D32" s="6">
        <f t="shared" ref="D32:D66" si="6">B32/C32</f>
        <v>4.2798353909465018E-3</v>
      </c>
      <c r="F32" s="6">
        <f t="shared" ref="F32:F65" si="7">B32/C32</f>
        <v>4.2798353909465018E-3</v>
      </c>
      <c r="I32" t="str">
        <f t="shared" si="2"/>
        <v>Andaman &amp; Nicobar Island</v>
      </c>
      <c r="J32">
        <f t="shared" si="3"/>
        <v>78</v>
      </c>
      <c r="K32">
        <f t="shared" si="4"/>
        <v>18225</v>
      </c>
      <c r="L32" s="6">
        <f t="shared" si="5"/>
        <v>4.2798353909465018E-3</v>
      </c>
      <c r="N32" t="s">
        <v>79</v>
      </c>
      <c r="O32">
        <v>312995</v>
      </c>
      <c r="P32">
        <v>3994329</v>
      </c>
      <c r="Q32" s="6">
        <v>7.8359844669780576E-2</v>
      </c>
      <c r="T32" t="str">
        <f t="shared" si="0"/>
        <v>Karnataka</v>
      </c>
      <c r="U32" s="6">
        <f t="shared" si="1"/>
        <v>7.8359844669780576E-2</v>
      </c>
    </row>
    <row r="33" spans="1:21" x14ac:dyDescent="0.35">
      <c r="A33" s="4" t="s">
        <v>76</v>
      </c>
      <c r="B33">
        <v>77422</v>
      </c>
      <c r="C33">
        <v>2283871</v>
      </c>
      <c r="D33" s="6">
        <f t="shared" si="6"/>
        <v>3.3899462798030189E-2</v>
      </c>
      <c r="F33" s="6">
        <f t="shared" si="7"/>
        <v>3.3899462798030189E-2</v>
      </c>
      <c r="I33" t="str">
        <f t="shared" si="2"/>
        <v>Andhra Pradesh</v>
      </c>
      <c r="J33">
        <f t="shared" si="3"/>
        <v>77422</v>
      </c>
      <c r="K33">
        <f t="shared" si="4"/>
        <v>2283871</v>
      </c>
      <c r="L33" s="6">
        <f t="shared" si="5"/>
        <v>3.3899462798030189E-2</v>
      </c>
      <c r="N33" t="s">
        <v>67</v>
      </c>
      <c r="O33">
        <v>107312</v>
      </c>
      <c r="P33">
        <v>1588436</v>
      </c>
      <c r="Q33" s="6">
        <v>6.7558277450271834E-2</v>
      </c>
      <c r="T33" t="str">
        <f t="shared" si="0"/>
        <v>Delhi</v>
      </c>
      <c r="U33" s="6">
        <f t="shared" si="1"/>
        <v>6.7558277450271834E-2</v>
      </c>
    </row>
    <row r="34" spans="1:21" x14ac:dyDescent="0.35">
      <c r="A34" s="4" t="s">
        <v>53</v>
      </c>
      <c r="B34">
        <v>33</v>
      </c>
      <c r="C34">
        <v>71547</v>
      </c>
      <c r="D34" s="6">
        <f t="shared" si="6"/>
        <v>4.6123527191915803E-4</v>
      </c>
      <c r="F34" s="6">
        <f t="shared" si="7"/>
        <v>4.6123527191915803E-4</v>
      </c>
      <c r="I34" t="str">
        <f t="shared" si="2"/>
        <v>Arunachal Pradesh</v>
      </c>
      <c r="J34">
        <f t="shared" si="3"/>
        <v>33</v>
      </c>
      <c r="K34">
        <f t="shared" si="4"/>
        <v>71547</v>
      </c>
      <c r="L34" s="6">
        <f t="shared" si="5"/>
        <v>4.6123527191915803E-4</v>
      </c>
      <c r="N34" t="s">
        <v>80</v>
      </c>
      <c r="O34">
        <v>137060</v>
      </c>
      <c r="P34">
        <v>2064677</v>
      </c>
      <c r="Q34" s="6">
        <v>6.6383264791538818E-2</v>
      </c>
      <c r="T34" t="str">
        <f t="shared" si="0"/>
        <v>Kerala</v>
      </c>
      <c r="U34" s="6">
        <f t="shared" si="1"/>
        <v>6.6383264791538818E-2</v>
      </c>
    </row>
    <row r="35" spans="1:21" x14ac:dyDescent="0.35">
      <c r="A35" s="4" t="s">
        <v>54</v>
      </c>
      <c r="B35">
        <v>6418</v>
      </c>
      <c r="C35">
        <v>1403271</v>
      </c>
      <c r="D35" s="6">
        <f t="shared" si="6"/>
        <v>4.5735998249803499E-3</v>
      </c>
      <c r="F35" s="6">
        <f t="shared" si="7"/>
        <v>4.5735998249803499E-3</v>
      </c>
      <c r="I35" t="str">
        <f t="shared" si="2"/>
        <v>Assam</v>
      </c>
      <c r="J35">
        <f t="shared" si="3"/>
        <v>6418</v>
      </c>
      <c r="K35">
        <f t="shared" si="4"/>
        <v>1403271</v>
      </c>
      <c r="L35" s="6">
        <f t="shared" si="5"/>
        <v>4.5735998249803499E-3</v>
      </c>
      <c r="N35" t="s">
        <v>81</v>
      </c>
      <c r="O35">
        <v>396045</v>
      </c>
      <c r="P35">
        <v>6101429</v>
      </c>
      <c r="Q35" s="6">
        <v>6.4910203822743817E-2</v>
      </c>
      <c r="T35" t="str">
        <f t="shared" si="0"/>
        <v>Maharashtra</v>
      </c>
      <c r="U35" s="6">
        <f t="shared" si="1"/>
        <v>6.4910203822743817E-2</v>
      </c>
    </row>
    <row r="36" spans="1:21" x14ac:dyDescent="0.35">
      <c r="A36" s="4" t="s">
        <v>65</v>
      </c>
      <c r="B36">
        <v>31019</v>
      </c>
      <c r="C36">
        <v>3048373</v>
      </c>
      <c r="D36" s="6">
        <f t="shared" si="6"/>
        <v>1.0175592028928218E-2</v>
      </c>
      <c r="F36" s="6">
        <f t="shared" si="7"/>
        <v>1.0175592028928218E-2</v>
      </c>
      <c r="I36" t="str">
        <f t="shared" si="2"/>
        <v>Bihar</v>
      </c>
      <c r="J36">
        <f t="shared" si="3"/>
        <v>31019</v>
      </c>
      <c r="K36">
        <f t="shared" si="4"/>
        <v>3048373</v>
      </c>
      <c r="L36" s="6">
        <f t="shared" si="5"/>
        <v>1.0175592028928218E-2</v>
      </c>
      <c r="N36" t="s">
        <v>69</v>
      </c>
      <c r="O36">
        <v>78267</v>
      </c>
      <c r="P36">
        <v>1688794</v>
      </c>
      <c r="Q36" s="6">
        <v>4.634490648356164E-2</v>
      </c>
    </row>
    <row r="37" spans="1:21" x14ac:dyDescent="0.35">
      <c r="A37" s="4" t="s">
        <v>66</v>
      </c>
      <c r="B37">
        <v>5279</v>
      </c>
      <c r="C37">
        <v>130628</v>
      </c>
      <c r="D37" s="6">
        <f t="shared" si="6"/>
        <v>4.0412468995927368E-2</v>
      </c>
      <c r="F37" s="6">
        <f t="shared" si="7"/>
        <v>4.0412468995927368E-2</v>
      </c>
      <c r="I37" t="str">
        <f t="shared" si="2"/>
        <v>Chandigarh</v>
      </c>
      <c r="J37">
        <f t="shared" si="3"/>
        <v>5279</v>
      </c>
      <c r="K37">
        <f t="shared" si="4"/>
        <v>130628</v>
      </c>
      <c r="L37" s="6">
        <f t="shared" si="5"/>
        <v>4.0412468995927368E-2</v>
      </c>
      <c r="N37" t="s">
        <v>82</v>
      </c>
      <c r="O37">
        <v>150366</v>
      </c>
      <c r="P37">
        <v>3307591</v>
      </c>
      <c r="Q37" s="6">
        <v>4.5460880743719526E-2</v>
      </c>
    </row>
    <row r="38" spans="1:21" x14ac:dyDescent="0.35">
      <c r="A38" s="4" t="s">
        <v>55</v>
      </c>
      <c r="B38">
        <v>53804</v>
      </c>
      <c r="C38">
        <v>1334989</v>
      </c>
      <c r="D38" s="6">
        <f t="shared" si="6"/>
        <v>4.030295380711002E-2</v>
      </c>
      <c r="F38" s="6">
        <f t="shared" si="7"/>
        <v>4.030295380711002E-2</v>
      </c>
      <c r="I38" t="str">
        <f t="shared" si="2"/>
        <v>Chhattisgarh</v>
      </c>
      <c r="J38">
        <f t="shared" si="3"/>
        <v>53804</v>
      </c>
      <c r="K38">
        <f t="shared" si="4"/>
        <v>1334989</v>
      </c>
      <c r="L38" s="6">
        <f t="shared" si="5"/>
        <v>4.030295380711002E-2</v>
      </c>
      <c r="N38" t="s">
        <v>78</v>
      </c>
      <c r="O38">
        <v>181389</v>
      </c>
      <c r="P38">
        <v>4125551</v>
      </c>
      <c r="Q38" s="6">
        <v>4.3967217954644117E-2</v>
      </c>
    </row>
    <row r="39" spans="1:21" x14ac:dyDescent="0.35">
      <c r="A39" s="4" t="s">
        <v>67</v>
      </c>
      <c r="B39">
        <v>107312</v>
      </c>
      <c r="C39">
        <v>1588436</v>
      </c>
      <c r="D39" s="6">
        <f t="shared" si="6"/>
        <v>6.7558277450271834E-2</v>
      </c>
      <c r="F39" s="6">
        <f t="shared" si="7"/>
        <v>6.7558277450271834E-2</v>
      </c>
      <c r="G39" s="6"/>
      <c r="I39" t="str">
        <f t="shared" si="2"/>
        <v>Delhi</v>
      </c>
      <c r="J39">
        <f t="shared" si="3"/>
        <v>107312</v>
      </c>
      <c r="K39">
        <f t="shared" si="4"/>
        <v>1588436</v>
      </c>
      <c r="L39" s="6">
        <f t="shared" si="5"/>
        <v>6.7558277450271834E-2</v>
      </c>
      <c r="N39" t="s">
        <v>83</v>
      </c>
      <c r="O39">
        <v>200062</v>
      </c>
      <c r="P39">
        <v>4652363</v>
      </c>
      <c r="Q39" s="6">
        <v>4.3002233488659419E-2</v>
      </c>
    </row>
    <row r="40" spans="1:21" x14ac:dyDescent="0.35">
      <c r="A40" s="4" t="s">
        <v>56</v>
      </c>
      <c r="B40">
        <v>355</v>
      </c>
      <c r="C40">
        <v>43397</v>
      </c>
      <c r="D40" s="6">
        <f t="shared" si="6"/>
        <v>8.1802889600663641E-3</v>
      </c>
      <c r="F40" s="6">
        <f t="shared" si="7"/>
        <v>8.1802889600663641E-3</v>
      </c>
      <c r="I40" t="str">
        <f t="shared" si="2"/>
        <v>DNH and DD</v>
      </c>
      <c r="J40">
        <f t="shared" si="3"/>
        <v>355</v>
      </c>
      <c r="K40">
        <f t="shared" si="4"/>
        <v>43397</v>
      </c>
      <c r="L40" s="6">
        <f t="shared" si="5"/>
        <v>8.1802889600663641E-3</v>
      </c>
      <c r="N40" t="s">
        <v>66</v>
      </c>
      <c r="O40">
        <v>5279</v>
      </c>
      <c r="P40">
        <v>130628</v>
      </c>
      <c r="Q40" s="6">
        <v>4.0412468995927368E-2</v>
      </c>
    </row>
    <row r="41" spans="1:21" x14ac:dyDescent="0.35">
      <c r="A41" s="4" t="s">
        <v>77</v>
      </c>
      <c r="B41">
        <v>19684</v>
      </c>
      <c r="C41">
        <v>199970</v>
      </c>
      <c r="D41" s="6">
        <f t="shared" si="6"/>
        <v>9.8434765214782213E-2</v>
      </c>
      <c r="F41" s="6">
        <f t="shared" si="7"/>
        <v>9.8434765214782213E-2</v>
      </c>
      <c r="I41" t="str">
        <f t="shared" si="2"/>
        <v>Goa</v>
      </c>
      <c r="J41">
        <f t="shared" si="3"/>
        <v>19684</v>
      </c>
      <c r="K41">
        <f t="shared" si="4"/>
        <v>199970</v>
      </c>
      <c r="L41" s="6">
        <f t="shared" si="5"/>
        <v>9.8434765214782213E-2</v>
      </c>
      <c r="N41" t="s">
        <v>55</v>
      </c>
      <c r="O41">
        <v>53804</v>
      </c>
      <c r="P41">
        <v>1334989</v>
      </c>
      <c r="Q41" s="6">
        <v>4.030295380711002E-2</v>
      </c>
    </row>
    <row r="42" spans="1:21" x14ac:dyDescent="0.35">
      <c r="A42" s="4" t="s">
        <v>78</v>
      </c>
      <c r="B42">
        <v>181389</v>
      </c>
      <c r="C42">
        <v>4125551</v>
      </c>
      <c r="D42" s="6">
        <f t="shared" si="6"/>
        <v>4.3967217954644117E-2</v>
      </c>
      <c r="F42" s="6">
        <f t="shared" si="7"/>
        <v>4.3967217954644117E-2</v>
      </c>
      <c r="I42" t="str">
        <f t="shared" si="2"/>
        <v>Gujarat</v>
      </c>
      <c r="J42">
        <f t="shared" si="3"/>
        <v>181389</v>
      </c>
      <c r="K42">
        <f t="shared" si="4"/>
        <v>4125551</v>
      </c>
      <c r="L42" s="6">
        <f t="shared" si="5"/>
        <v>4.3967217954644117E-2</v>
      </c>
      <c r="N42" t="s">
        <v>63</v>
      </c>
      <c r="O42">
        <v>5536</v>
      </c>
      <c r="P42">
        <v>150798</v>
      </c>
      <c r="Q42" s="6">
        <v>3.6711362219658088E-2</v>
      </c>
    </row>
    <row r="43" spans="1:21" x14ac:dyDescent="0.35">
      <c r="A43" s="4" t="s">
        <v>74</v>
      </c>
      <c r="B43">
        <v>30797</v>
      </c>
      <c r="C43">
        <v>1902768</v>
      </c>
      <c r="D43" s="6">
        <f t="shared" si="6"/>
        <v>1.6185367843058112E-2</v>
      </c>
      <c r="F43" s="6">
        <f t="shared" si="7"/>
        <v>1.6185367843058112E-2</v>
      </c>
      <c r="I43" t="str">
        <f t="shared" si="2"/>
        <v>Haryana</v>
      </c>
      <c r="J43">
        <f t="shared" si="3"/>
        <v>30797</v>
      </c>
      <c r="K43">
        <f t="shared" si="4"/>
        <v>1902768</v>
      </c>
      <c r="L43" s="6">
        <f t="shared" si="5"/>
        <v>1.6185367843058112E-2</v>
      </c>
      <c r="N43" t="s">
        <v>76</v>
      </c>
      <c r="O43">
        <v>77422</v>
      </c>
      <c r="P43">
        <v>2283871</v>
      </c>
      <c r="Q43" s="6">
        <v>3.3899462798030189E-2</v>
      </c>
    </row>
    <row r="44" spans="1:21" x14ac:dyDescent="0.35">
      <c r="A44" s="4" t="s">
        <v>72</v>
      </c>
      <c r="B44">
        <v>2595</v>
      </c>
      <c r="C44">
        <v>325366</v>
      </c>
      <c r="D44" s="6">
        <f t="shared" si="6"/>
        <v>7.9756335941677994E-3</v>
      </c>
      <c r="F44" s="6">
        <f t="shared" si="7"/>
        <v>7.9756335941677994E-3</v>
      </c>
      <c r="I44" t="str">
        <f t="shared" si="2"/>
        <v>Himachal Pradesh</v>
      </c>
      <c r="J44">
        <f t="shared" si="3"/>
        <v>2595</v>
      </c>
      <c r="K44">
        <f t="shared" si="4"/>
        <v>325366</v>
      </c>
      <c r="L44" s="6">
        <f t="shared" si="5"/>
        <v>7.9756335941677994E-3</v>
      </c>
      <c r="N44" t="s">
        <v>71</v>
      </c>
      <c r="O44">
        <v>15127</v>
      </c>
      <c r="P44">
        <v>622707</v>
      </c>
      <c r="Q44" s="6">
        <v>2.429232367710657E-2</v>
      </c>
    </row>
    <row r="45" spans="1:21" x14ac:dyDescent="0.35">
      <c r="A45" s="4" t="s">
        <v>57</v>
      </c>
      <c r="B45">
        <v>5971</v>
      </c>
      <c r="C45">
        <v>414553</v>
      </c>
      <c r="D45" s="6">
        <f t="shared" si="6"/>
        <v>1.4403465901826788E-2</v>
      </c>
      <c r="F45" s="6">
        <f t="shared" si="7"/>
        <v>1.4403465901826788E-2</v>
      </c>
      <c r="I45" t="str">
        <f t="shared" si="2"/>
        <v>Jammu and Kashmir</v>
      </c>
      <c r="J45">
        <f t="shared" si="3"/>
        <v>5971</v>
      </c>
      <c r="K45">
        <f t="shared" si="4"/>
        <v>414553</v>
      </c>
      <c r="L45" s="6">
        <f t="shared" si="5"/>
        <v>1.4403465901826788E-2</v>
      </c>
      <c r="N45" t="s">
        <v>68</v>
      </c>
      <c r="O45">
        <v>78979</v>
      </c>
      <c r="P45">
        <v>3498698</v>
      </c>
      <c r="Q45" s="6">
        <v>2.2573826034713484E-2</v>
      </c>
    </row>
    <row r="46" spans="1:21" x14ac:dyDescent="0.35">
      <c r="A46" s="4" t="s">
        <v>75</v>
      </c>
      <c r="B46">
        <v>18461</v>
      </c>
      <c r="C46">
        <v>1364886</v>
      </c>
      <c r="D46" s="6">
        <f t="shared" si="6"/>
        <v>1.3525671741083139E-2</v>
      </c>
      <c r="F46" s="6">
        <f t="shared" si="7"/>
        <v>1.3525671741083139E-2</v>
      </c>
      <c r="I46" t="str">
        <f t="shared" si="2"/>
        <v>Jharkhand</v>
      </c>
      <c r="J46">
        <f t="shared" si="3"/>
        <v>18461</v>
      </c>
      <c r="K46">
        <f t="shared" si="4"/>
        <v>1364886</v>
      </c>
      <c r="L46" s="6">
        <f t="shared" si="5"/>
        <v>1.3525671741083139E-2</v>
      </c>
      <c r="N46" t="s">
        <v>74</v>
      </c>
      <c r="O46">
        <v>30797</v>
      </c>
      <c r="P46">
        <v>1902768</v>
      </c>
      <c r="Q46" s="6">
        <v>1.6185367843058112E-2</v>
      </c>
    </row>
    <row r="47" spans="1:21" x14ac:dyDescent="0.35">
      <c r="A47" s="4" t="s">
        <v>79</v>
      </c>
      <c r="B47">
        <v>312995</v>
      </c>
      <c r="C47">
        <v>3994329</v>
      </c>
      <c r="D47" s="6">
        <f t="shared" si="6"/>
        <v>7.8359844669780576E-2</v>
      </c>
      <c r="F47" s="6">
        <f t="shared" si="7"/>
        <v>7.8359844669780576E-2</v>
      </c>
      <c r="I47" t="str">
        <f t="shared" si="2"/>
        <v>Karnataka</v>
      </c>
      <c r="J47">
        <f t="shared" si="3"/>
        <v>312995</v>
      </c>
      <c r="K47">
        <f t="shared" si="4"/>
        <v>3994329</v>
      </c>
      <c r="L47" s="6">
        <f t="shared" si="5"/>
        <v>7.8359844669780576E-2</v>
      </c>
      <c r="N47" t="s">
        <v>70</v>
      </c>
      <c r="O47">
        <v>23833</v>
      </c>
      <c r="P47">
        <v>1543962</v>
      </c>
      <c r="Q47" s="6">
        <v>1.543626073698705E-2</v>
      </c>
    </row>
    <row r="48" spans="1:21" x14ac:dyDescent="0.35">
      <c r="A48" s="4" t="s">
        <v>80</v>
      </c>
      <c r="B48">
        <v>137060</v>
      </c>
      <c r="C48">
        <v>2064677</v>
      </c>
      <c r="D48" s="6">
        <f t="shared" si="6"/>
        <v>6.6383264791538818E-2</v>
      </c>
      <c r="F48" s="6">
        <f t="shared" si="7"/>
        <v>6.6383264791538818E-2</v>
      </c>
      <c r="I48" t="str">
        <f t="shared" si="2"/>
        <v>Kerala</v>
      </c>
      <c r="J48">
        <f t="shared" si="3"/>
        <v>137060</v>
      </c>
      <c r="K48">
        <f t="shared" si="4"/>
        <v>2064677</v>
      </c>
      <c r="L48" s="6">
        <f t="shared" si="5"/>
        <v>6.6383264791538818E-2</v>
      </c>
      <c r="N48" t="s">
        <v>57</v>
      </c>
      <c r="O48">
        <v>5971</v>
      </c>
      <c r="P48">
        <v>414553</v>
      </c>
      <c r="Q48" s="6">
        <v>1.4403465901826788E-2</v>
      </c>
    </row>
    <row r="49" spans="1:17" x14ac:dyDescent="0.35">
      <c r="A49" s="4" t="s">
        <v>58</v>
      </c>
      <c r="B49">
        <v>68</v>
      </c>
      <c r="C49">
        <v>10496</v>
      </c>
      <c r="D49" s="6">
        <f t="shared" si="6"/>
        <v>6.4786585365853655E-3</v>
      </c>
      <c r="F49" s="6">
        <f t="shared" si="7"/>
        <v>6.4786585365853655E-3</v>
      </c>
      <c r="I49" t="str">
        <f t="shared" si="2"/>
        <v>Ladakh</v>
      </c>
      <c r="J49">
        <f t="shared" si="3"/>
        <v>68</v>
      </c>
      <c r="K49">
        <f t="shared" si="4"/>
        <v>10496</v>
      </c>
      <c r="L49" s="6">
        <f t="shared" si="5"/>
        <v>6.4786585365853655E-3</v>
      </c>
      <c r="N49" t="s">
        <v>75</v>
      </c>
      <c r="O49">
        <v>18461</v>
      </c>
      <c r="P49">
        <v>1364886</v>
      </c>
      <c r="Q49" s="6">
        <v>1.3525671741083139E-2</v>
      </c>
    </row>
    <row r="50" spans="1:17" x14ac:dyDescent="0.35">
      <c r="A50" s="4" t="s">
        <v>68</v>
      </c>
      <c r="B50">
        <v>78979</v>
      </c>
      <c r="C50">
        <v>3498698</v>
      </c>
      <c r="D50" s="6">
        <f t="shared" si="6"/>
        <v>2.2573826034713484E-2</v>
      </c>
      <c r="F50" s="6">
        <f t="shared" si="7"/>
        <v>2.2573826034713484E-2</v>
      </c>
      <c r="I50" t="str">
        <f t="shared" si="2"/>
        <v>Madhya Pradesh</v>
      </c>
      <c r="J50">
        <f t="shared" si="3"/>
        <v>78979</v>
      </c>
      <c r="K50">
        <f t="shared" si="4"/>
        <v>3498698</v>
      </c>
      <c r="L50" s="6">
        <f t="shared" si="5"/>
        <v>2.2573826034713484E-2</v>
      </c>
      <c r="N50" t="s">
        <v>84</v>
      </c>
      <c r="O50">
        <v>95203</v>
      </c>
      <c r="P50">
        <v>8127084</v>
      </c>
      <c r="Q50" s="6">
        <v>1.1714287683011521E-2</v>
      </c>
    </row>
    <row r="51" spans="1:17" x14ac:dyDescent="0.35">
      <c r="A51" s="4" t="s">
        <v>81</v>
      </c>
      <c r="B51">
        <v>396045</v>
      </c>
      <c r="C51">
        <v>6101429</v>
      </c>
      <c r="D51" s="6">
        <f t="shared" si="6"/>
        <v>6.4910203822743817E-2</v>
      </c>
      <c r="F51" s="6">
        <f t="shared" si="7"/>
        <v>6.4910203822743817E-2</v>
      </c>
      <c r="I51" t="str">
        <f t="shared" si="2"/>
        <v>Maharashtra</v>
      </c>
      <c r="J51">
        <f t="shared" si="3"/>
        <v>396045</v>
      </c>
      <c r="K51">
        <f t="shared" si="4"/>
        <v>6101429</v>
      </c>
      <c r="L51" s="6">
        <f t="shared" si="5"/>
        <v>6.4910203822743817E-2</v>
      </c>
      <c r="N51" t="s">
        <v>85</v>
      </c>
      <c r="O51">
        <v>30560</v>
      </c>
      <c r="P51">
        <v>2736176</v>
      </c>
      <c r="Q51" s="6">
        <v>1.1168872177813123E-2</v>
      </c>
    </row>
    <row r="52" spans="1:17" x14ac:dyDescent="0.35">
      <c r="A52" s="4" t="s">
        <v>59</v>
      </c>
      <c r="B52">
        <v>299</v>
      </c>
      <c r="C52">
        <v>104513</v>
      </c>
      <c r="D52" s="6">
        <f t="shared" si="6"/>
        <v>2.860888119181346E-3</v>
      </c>
      <c r="F52" s="6">
        <f t="shared" si="7"/>
        <v>2.860888119181346E-3</v>
      </c>
      <c r="I52" t="str">
        <f t="shared" si="2"/>
        <v>Manipur</v>
      </c>
      <c r="J52">
        <f t="shared" si="3"/>
        <v>299</v>
      </c>
      <c r="K52">
        <f t="shared" si="4"/>
        <v>104513</v>
      </c>
      <c r="L52" s="6">
        <f t="shared" si="5"/>
        <v>2.860888119181346E-3</v>
      </c>
      <c r="N52" t="s">
        <v>65</v>
      </c>
      <c r="O52">
        <v>31019</v>
      </c>
      <c r="P52">
        <v>3048373</v>
      </c>
      <c r="Q52" s="6">
        <v>1.0175592028928218E-2</v>
      </c>
    </row>
    <row r="53" spans="1:17" x14ac:dyDescent="0.35">
      <c r="A53" s="4" t="s">
        <v>60</v>
      </c>
      <c r="B53">
        <v>177</v>
      </c>
      <c r="C53">
        <v>90183</v>
      </c>
      <c r="D53" s="6">
        <f t="shared" si="6"/>
        <v>1.962675892352217E-3</v>
      </c>
      <c r="F53" s="6">
        <f t="shared" si="7"/>
        <v>1.962675892352217E-3</v>
      </c>
      <c r="I53" t="str">
        <f t="shared" si="2"/>
        <v>Meghalaya</v>
      </c>
      <c r="J53">
        <f t="shared" si="3"/>
        <v>177</v>
      </c>
      <c r="K53">
        <f t="shared" si="4"/>
        <v>90183</v>
      </c>
      <c r="L53" s="6">
        <f t="shared" si="5"/>
        <v>1.962675892352217E-3</v>
      </c>
      <c r="N53" t="s">
        <v>56</v>
      </c>
      <c r="O53">
        <v>355</v>
      </c>
      <c r="P53">
        <v>43397</v>
      </c>
      <c r="Q53" s="6">
        <v>8.1802889600663641E-3</v>
      </c>
    </row>
    <row r="54" spans="1:17" x14ac:dyDescent="0.35">
      <c r="A54" s="4" t="s">
        <v>61</v>
      </c>
      <c r="B54">
        <v>340</v>
      </c>
      <c r="C54">
        <v>71307</v>
      </c>
      <c r="D54" s="6">
        <f t="shared" si="6"/>
        <v>4.7681153322955668E-3</v>
      </c>
      <c r="F54" s="6">
        <f t="shared" si="7"/>
        <v>4.7681153322955668E-3</v>
      </c>
      <c r="I54" t="str">
        <f t="shared" si="2"/>
        <v>Mizoram</v>
      </c>
      <c r="J54">
        <f t="shared" si="3"/>
        <v>340</v>
      </c>
      <c r="K54">
        <f t="shared" si="4"/>
        <v>71307</v>
      </c>
      <c r="L54" s="6">
        <f t="shared" si="5"/>
        <v>4.7681153322955668E-3</v>
      </c>
      <c r="N54" t="s">
        <v>72</v>
      </c>
      <c r="O54">
        <v>2595</v>
      </c>
      <c r="P54">
        <v>325366</v>
      </c>
      <c r="Q54" s="6">
        <v>7.9756335941677994E-3</v>
      </c>
    </row>
    <row r="55" spans="1:17" x14ac:dyDescent="0.35">
      <c r="A55" s="4" t="s">
        <v>62</v>
      </c>
      <c r="B55">
        <v>13</v>
      </c>
      <c r="C55">
        <v>44092</v>
      </c>
      <c r="D55" s="6">
        <f t="shared" si="6"/>
        <v>2.9483806586228797E-4</v>
      </c>
      <c r="F55" s="6">
        <f t="shared" si="7"/>
        <v>2.9483806586228797E-4</v>
      </c>
      <c r="I55" t="str">
        <f t="shared" si="2"/>
        <v>Nagaland</v>
      </c>
      <c r="J55">
        <f t="shared" si="3"/>
        <v>13</v>
      </c>
      <c r="K55">
        <f t="shared" si="4"/>
        <v>44092</v>
      </c>
      <c r="L55" s="6">
        <f t="shared" si="5"/>
        <v>2.9483806586228797E-4</v>
      </c>
      <c r="N55" t="s">
        <v>58</v>
      </c>
      <c r="O55">
        <v>68</v>
      </c>
      <c r="P55">
        <v>10496</v>
      </c>
      <c r="Q55" s="6">
        <v>6.4786585365853655E-3</v>
      </c>
    </row>
    <row r="56" spans="1:17" x14ac:dyDescent="0.35">
      <c r="A56" s="4" t="s">
        <v>69</v>
      </c>
      <c r="B56">
        <v>78267</v>
      </c>
      <c r="C56">
        <v>1688794</v>
      </c>
      <c r="D56" s="6">
        <f t="shared" si="6"/>
        <v>4.634490648356164E-2</v>
      </c>
      <c r="F56" s="6">
        <f t="shared" si="7"/>
        <v>4.634490648356164E-2</v>
      </c>
      <c r="I56" t="str">
        <f t="shared" si="2"/>
        <v>Odisha</v>
      </c>
      <c r="J56">
        <f t="shared" si="3"/>
        <v>78267</v>
      </c>
      <c r="K56">
        <f t="shared" si="4"/>
        <v>1688794</v>
      </c>
      <c r="L56" s="6">
        <f t="shared" si="5"/>
        <v>4.634490648356164E-2</v>
      </c>
      <c r="N56" t="s">
        <v>61</v>
      </c>
      <c r="O56">
        <v>340</v>
      </c>
      <c r="P56">
        <v>71307</v>
      </c>
      <c r="Q56" s="6">
        <v>4.7681153322955668E-3</v>
      </c>
    </row>
    <row r="57" spans="1:17" x14ac:dyDescent="0.35">
      <c r="A57" s="4" t="s">
        <v>63</v>
      </c>
      <c r="B57">
        <v>5536</v>
      </c>
      <c r="C57">
        <v>150798</v>
      </c>
      <c r="D57" s="6">
        <f t="shared" si="6"/>
        <v>3.6711362219658088E-2</v>
      </c>
      <c r="F57" s="6">
        <f t="shared" si="7"/>
        <v>3.6711362219658088E-2</v>
      </c>
      <c r="I57" t="str">
        <f t="shared" si="2"/>
        <v>Puducherry</v>
      </c>
      <c r="J57">
        <f t="shared" si="3"/>
        <v>5536</v>
      </c>
      <c r="K57">
        <f t="shared" si="4"/>
        <v>150798</v>
      </c>
      <c r="L57" s="6">
        <f t="shared" si="5"/>
        <v>3.6711362219658088E-2</v>
      </c>
      <c r="N57" t="s">
        <v>54</v>
      </c>
      <c r="O57">
        <v>6418</v>
      </c>
      <c r="P57">
        <v>1403271</v>
      </c>
      <c r="Q57" s="6">
        <v>4.5735998249803499E-3</v>
      </c>
    </row>
    <row r="58" spans="1:17" x14ac:dyDescent="0.35">
      <c r="A58" s="4" t="s">
        <v>70</v>
      </c>
      <c r="B58">
        <v>23833</v>
      </c>
      <c r="C58">
        <v>1543962</v>
      </c>
      <c r="D58" s="6">
        <f t="shared" si="6"/>
        <v>1.543626073698705E-2</v>
      </c>
      <c r="F58" s="6">
        <f t="shared" si="7"/>
        <v>1.543626073698705E-2</v>
      </c>
      <c r="I58" t="str">
        <f t="shared" si="2"/>
        <v>Punjab</v>
      </c>
      <c r="J58">
        <f t="shared" si="3"/>
        <v>23833</v>
      </c>
      <c r="K58">
        <f t="shared" si="4"/>
        <v>1543962</v>
      </c>
      <c r="L58" s="6">
        <f t="shared" si="5"/>
        <v>1.543626073698705E-2</v>
      </c>
      <c r="N58" t="s">
        <v>64</v>
      </c>
      <c r="O58">
        <v>562</v>
      </c>
      <c r="P58">
        <v>125216</v>
      </c>
      <c r="Q58" s="6">
        <v>4.4882443138257091E-3</v>
      </c>
    </row>
    <row r="59" spans="1:17" x14ac:dyDescent="0.35">
      <c r="A59" s="4" t="s">
        <v>82</v>
      </c>
      <c r="B59">
        <v>150366</v>
      </c>
      <c r="C59">
        <v>3307591</v>
      </c>
      <c r="D59" s="6">
        <f t="shared" si="6"/>
        <v>4.5460880743719526E-2</v>
      </c>
      <c r="F59" s="6">
        <f t="shared" si="7"/>
        <v>4.5460880743719526E-2</v>
      </c>
      <c r="I59" t="str">
        <f t="shared" si="2"/>
        <v>Rajasthan</v>
      </c>
      <c r="J59">
        <f t="shared" si="3"/>
        <v>150366</v>
      </c>
      <c r="K59">
        <f t="shared" si="4"/>
        <v>3307591</v>
      </c>
      <c r="L59" s="6">
        <f t="shared" si="5"/>
        <v>4.5460880743719526E-2</v>
      </c>
      <c r="N59" t="s">
        <v>52</v>
      </c>
      <c r="O59">
        <v>78</v>
      </c>
      <c r="P59">
        <v>18225</v>
      </c>
      <c r="Q59" s="6">
        <v>4.2798353909465018E-3</v>
      </c>
    </row>
    <row r="60" spans="1:17" x14ac:dyDescent="0.35">
      <c r="A60" s="4" t="s">
        <v>51</v>
      </c>
      <c r="B60">
        <v>0</v>
      </c>
      <c r="C60">
        <v>29346</v>
      </c>
      <c r="D60" s="6">
        <f t="shared" si="6"/>
        <v>0</v>
      </c>
      <c r="F60" s="6">
        <f t="shared" si="7"/>
        <v>0</v>
      </c>
      <c r="I60" t="str">
        <f t="shared" si="2"/>
        <v>Sikkim</v>
      </c>
      <c r="J60">
        <f t="shared" si="3"/>
        <v>0</v>
      </c>
      <c r="K60">
        <f t="shared" si="4"/>
        <v>29346</v>
      </c>
      <c r="L60" s="6">
        <f t="shared" si="5"/>
        <v>0</v>
      </c>
      <c r="N60" t="s">
        <v>73</v>
      </c>
      <c r="O60">
        <v>2</v>
      </c>
      <c r="P60">
        <v>660</v>
      </c>
      <c r="Q60" s="6">
        <v>3.0303030303030303E-3</v>
      </c>
    </row>
    <row r="61" spans="1:17" x14ac:dyDescent="0.35">
      <c r="A61" s="4" t="s">
        <v>83</v>
      </c>
      <c r="B61">
        <v>200062</v>
      </c>
      <c r="C61">
        <v>4652363</v>
      </c>
      <c r="D61" s="6">
        <f t="shared" si="6"/>
        <v>4.3002233488659419E-2</v>
      </c>
      <c r="F61" s="6">
        <f t="shared" si="7"/>
        <v>4.3002233488659419E-2</v>
      </c>
      <c r="I61" t="str">
        <f t="shared" si="2"/>
        <v>Tamil Nadu</v>
      </c>
      <c r="J61">
        <f t="shared" si="3"/>
        <v>200062</v>
      </c>
      <c r="K61">
        <f t="shared" si="4"/>
        <v>4652363</v>
      </c>
      <c r="L61" s="6">
        <f t="shared" si="5"/>
        <v>4.3002233488659419E-2</v>
      </c>
      <c r="N61" t="s">
        <v>59</v>
      </c>
      <c r="O61">
        <v>299</v>
      </c>
      <c r="P61">
        <v>104513</v>
      </c>
      <c r="Q61" s="6">
        <v>2.860888119181346E-3</v>
      </c>
    </row>
    <row r="62" spans="1:17" x14ac:dyDescent="0.35">
      <c r="A62" s="4" t="s">
        <v>64</v>
      </c>
      <c r="B62">
        <v>562</v>
      </c>
      <c r="C62">
        <v>125216</v>
      </c>
      <c r="D62" s="6">
        <f t="shared" si="6"/>
        <v>4.4882443138257091E-3</v>
      </c>
      <c r="F62" s="6">
        <f t="shared" si="7"/>
        <v>4.4882443138257091E-3</v>
      </c>
      <c r="I62" t="str">
        <f t="shared" si="2"/>
        <v>Tripura</v>
      </c>
      <c r="J62">
        <f t="shared" si="3"/>
        <v>562</v>
      </c>
      <c r="K62">
        <f t="shared" si="4"/>
        <v>125216</v>
      </c>
      <c r="L62" s="6">
        <f t="shared" si="5"/>
        <v>4.4882443138257091E-3</v>
      </c>
      <c r="N62" t="s">
        <v>60</v>
      </c>
      <c r="O62">
        <v>177</v>
      </c>
      <c r="P62">
        <v>90183</v>
      </c>
      <c r="Q62" s="6">
        <v>1.962675892352217E-3</v>
      </c>
    </row>
    <row r="63" spans="1:17" x14ac:dyDescent="0.35">
      <c r="A63" s="4" t="s">
        <v>84</v>
      </c>
      <c r="B63">
        <v>95203</v>
      </c>
      <c r="C63">
        <v>8127084</v>
      </c>
      <c r="D63" s="6">
        <f t="shared" si="6"/>
        <v>1.1714287683011521E-2</v>
      </c>
      <c r="F63" s="6">
        <f>B63/C63</f>
        <v>1.1714287683011521E-2</v>
      </c>
      <c r="I63" t="str">
        <f t="shared" si="2"/>
        <v>Uttar Pradesh</v>
      </c>
      <c r="J63">
        <f t="shared" si="3"/>
        <v>95203</v>
      </c>
      <c r="K63">
        <f t="shared" si="4"/>
        <v>8127084</v>
      </c>
      <c r="L63" s="6">
        <f t="shared" si="5"/>
        <v>1.1714287683011521E-2</v>
      </c>
      <c r="N63" t="s">
        <v>53</v>
      </c>
      <c r="O63">
        <v>33</v>
      </c>
      <c r="P63">
        <v>71547</v>
      </c>
      <c r="Q63" s="6">
        <v>4.6123527191915803E-4</v>
      </c>
    </row>
    <row r="64" spans="1:17" x14ac:dyDescent="0.35">
      <c r="A64" s="4" t="s">
        <v>71</v>
      </c>
      <c r="B64">
        <v>15127</v>
      </c>
      <c r="C64">
        <v>622707</v>
      </c>
      <c r="D64" s="6">
        <f t="shared" si="6"/>
        <v>2.429232367710657E-2</v>
      </c>
      <c r="F64" s="6">
        <f t="shared" si="7"/>
        <v>2.429232367710657E-2</v>
      </c>
      <c r="I64" t="str">
        <f t="shared" si="2"/>
        <v>Uttarakhand</v>
      </c>
      <c r="J64">
        <f t="shared" si="3"/>
        <v>15127</v>
      </c>
      <c r="K64">
        <f t="shared" si="4"/>
        <v>622707</v>
      </c>
      <c r="L64" s="6">
        <f t="shared" si="5"/>
        <v>2.429232367710657E-2</v>
      </c>
      <c r="N64" t="s">
        <v>62</v>
      </c>
      <c r="O64">
        <v>13</v>
      </c>
      <c r="P64">
        <v>44092</v>
      </c>
      <c r="Q64" s="6">
        <v>2.9483806586228797E-4</v>
      </c>
    </row>
    <row r="65" spans="1:17" x14ac:dyDescent="0.35">
      <c r="A65" s="4" t="s">
        <v>85</v>
      </c>
      <c r="B65">
        <v>30560</v>
      </c>
      <c r="C65">
        <v>2736176</v>
      </c>
      <c r="D65" s="6">
        <f t="shared" si="6"/>
        <v>1.1168872177813123E-2</v>
      </c>
      <c r="F65" s="6">
        <f t="shared" si="7"/>
        <v>1.1168872177813123E-2</v>
      </c>
      <c r="I65" t="str">
        <f t="shared" si="2"/>
        <v>West Bengal</v>
      </c>
      <c r="J65">
        <f t="shared" si="3"/>
        <v>30560</v>
      </c>
      <c r="K65">
        <f t="shared" si="4"/>
        <v>2736176</v>
      </c>
      <c r="L65" s="6">
        <f t="shared" si="5"/>
        <v>1.1168872177813123E-2</v>
      </c>
      <c r="N65" t="s">
        <v>51</v>
      </c>
      <c r="O65">
        <v>0</v>
      </c>
      <c r="P65">
        <v>29346</v>
      </c>
      <c r="Q65" s="6">
        <v>0</v>
      </c>
    </row>
    <row r="66" spans="1:17" x14ac:dyDescent="0.35">
      <c r="A66" s="4" t="s">
        <v>87</v>
      </c>
      <c r="B66">
        <v>2066111</v>
      </c>
      <c r="C66">
        <v>57220252</v>
      </c>
      <c r="D66" s="6">
        <f t="shared" si="6"/>
        <v>3.6108037413047397E-2</v>
      </c>
    </row>
    <row r="70" spans="1:17" x14ac:dyDescent="0.35">
      <c r="A70" s="3" t="s">
        <v>86</v>
      </c>
      <c r="B70" t="s">
        <v>88</v>
      </c>
    </row>
    <row r="71" spans="1:17" x14ac:dyDescent="0.35">
      <c r="A71" s="4" t="s">
        <v>132</v>
      </c>
      <c r="B71" s="15">
        <v>189099</v>
      </c>
    </row>
    <row r="72" spans="1:17" x14ac:dyDescent="0.35">
      <c r="A72" s="4" t="s">
        <v>131</v>
      </c>
      <c r="B72" s="15">
        <v>198049</v>
      </c>
    </row>
    <row r="73" spans="1:17" x14ac:dyDescent="0.35">
      <c r="A73" s="4" t="s">
        <v>135</v>
      </c>
      <c r="B73" s="15">
        <v>291587</v>
      </c>
    </row>
    <row r="74" spans="1:17" x14ac:dyDescent="0.35">
      <c r="A74" s="4" t="s">
        <v>128</v>
      </c>
      <c r="B74" s="15">
        <v>134657</v>
      </c>
    </row>
    <row r="75" spans="1:17" x14ac:dyDescent="0.35">
      <c r="A75" s="4" t="s">
        <v>136</v>
      </c>
      <c r="B75" s="15">
        <v>159869</v>
      </c>
    </row>
    <row r="76" spans="1:17" x14ac:dyDescent="0.35">
      <c r="A76" s="4" t="s">
        <v>134</v>
      </c>
      <c r="B76" s="15">
        <v>106709</v>
      </c>
    </row>
    <row r="77" spans="1:17" ht="16.5" x14ac:dyDescent="0.45">
      <c r="A77" s="4" t="s">
        <v>133</v>
      </c>
      <c r="B77" s="15">
        <v>127426</v>
      </c>
      <c r="K77" s="16" t="s">
        <v>149</v>
      </c>
      <c r="L77" s="16" t="s">
        <v>164</v>
      </c>
      <c r="M77" s="16" t="s">
        <v>165</v>
      </c>
    </row>
    <row r="78" spans="1:17" ht="16.5" x14ac:dyDescent="0.45">
      <c r="A78" s="4" t="s">
        <v>129</v>
      </c>
      <c r="B78" s="15">
        <v>141961</v>
      </c>
      <c r="K78" s="17" t="s">
        <v>166</v>
      </c>
      <c r="L78" s="18">
        <v>-0.53586493210160202</v>
      </c>
      <c r="M78" s="18">
        <v>-0.65814811702589526</v>
      </c>
    </row>
    <row r="79" spans="1:17" ht="16.5" x14ac:dyDescent="0.45">
      <c r="A79" s="4" t="s">
        <v>139</v>
      </c>
      <c r="B79" s="15">
        <v>145972</v>
      </c>
      <c r="K79" s="17" t="s">
        <v>167</v>
      </c>
      <c r="L79" s="18">
        <v>-0.37663086193345557</v>
      </c>
      <c r="M79" s="18">
        <v>-0.70302417593389999</v>
      </c>
    </row>
    <row r="80" spans="1:17" x14ac:dyDescent="0.35">
      <c r="A80" s="4" t="s">
        <v>138</v>
      </c>
      <c r="B80" s="15">
        <v>185185</v>
      </c>
    </row>
    <row r="81" spans="1:33" x14ac:dyDescent="0.35">
      <c r="A81" s="4" t="s">
        <v>137</v>
      </c>
      <c r="B81" s="15">
        <v>205196</v>
      </c>
    </row>
    <row r="82" spans="1:33" x14ac:dyDescent="0.35">
      <c r="A82" s="4" t="s">
        <v>130</v>
      </c>
      <c r="B82" s="15">
        <v>180401</v>
      </c>
    </row>
    <row r="83" spans="1:33" x14ac:dyDescent="0.35">
      <c r="A83" s="4" t="s">
        <v>87</v>
      </c>
      <c r="B83" s="15">
        <v>2066111</v>
      </c>
    </row>
    <row r="85" spans="1:33" ht="16.5" x14ac:dyDescent="0.45">
      <c r="W85" s="5" t="s">
        <v>103</v>
      </c>
      <c r="X85" s="5" t="s">
        <v>143</v>
      </c>
      <c r="AA85" s="16" t="str">
        <f>W85</f>
        <v>State</v>
      </c>
      <c r="AB85" s="16" t="s">
        <v>172</v>
      </c>
      <c r="AE85" s="21"/>
      <c r="AF85" s="16" t="s">
        <v>67</v>
      </c>
      <c r="AG85" s="16" t="s">
        <v>79</v>
      </c>
    </row>
    <row r="86" spans="1:33" ht="16.5" x14ac:dyDescent="0.45">
      <c r="B86" s="3" t="s">
        <v>18</v>
      </c>
      <c r="C86" t="s">
        <v>21</v>
      </c>
      <c r="D86" s="3" t="s">
        <v>18</v>
      </c>
      <c r="E86" t="s">
        <v>24</v>
      </c>
      <c r="W86" s="5" t="s">
        <v>84</v>
      </c>
      <c r="X86" s="11">
        <v>15017.475680276617</v>
      </c>
      <c r="AA86" s="19" t="str">
        <f>W86</f>
        <v>Uttar Pradesh</v>
      </c>
      <c r="AB86" s="20">
        <f>X86</f>
        <v>15017.475680276617</v>
      </c>
      <c r="AE86" s="16" t="s">
        <v>106</v>
      </c>
      <c r="AF86" s="22">
        <v>13277</v>
      </c>
      <c r="AG86" s="22">
        <v>51247</v>
      </c>
    </row>
    <row r="87" spans="1:33" ht="16.5" x14ac:dyDescent="0.45">
      <c r="W87" s="5" t="s">
        <v>79</v>
      </c>
      <c r="X87" s="11">
        <v>9078.5816389710362</v>
      </c>
      <c r="AA87" s="19" t="str">
        <f t="shared" ref="AA87:AB95" si="8">W87</f>
        <v>Karnataka</v>
      </c>
      <c r="AB87" s="20">
        <f t="shared" si="8"/>
        <v>9078.5816389710362</v>
      </c>
      <c r="AE87" s="16" t="s">
        <v>120</v>
      </c>
      <c r="AF87" s="22">
        <v>155839</v>
      </c>
      <c r="AG87" s="22">
        <v>430905</v>
      </c>
    </row>
    <row r="88" spans="1:33" ht="16.5" x14ac:dyDescent="0.45">
      <c r="B88" t="s">
        <v>88</v>
      </c>
      <c r="D88" t="s">
        <v>88</v>
      </c>
      <c r="W88" s="5" t="s">
        <v>61</v>
      </c>
      <c r="X88" s="11">
        <v>7773.3611111111131</v>
      </c>
      <c r="AA88" s="19" t="str">
        <f t="shared" si="8"/>
        <v>Mizoram</v>
      </c>
      <c r="AB88" s="20">
        <f t="shared" si="8"/>
        <v>7773.3611111111131</v>
      </c>
      <c r="AE88" s="16" t="s">
        <v>105</v>
      </c>
      <c r="AF88" s="23">
        <v>8.5196901930838884E-2</v>
      </c>
      <c r="AG88" s="23">
        <v>0.11892876620136689</v>
      </c>
    </row>
    <row r="89" spans="1:33" x14ac:dyDescent="0.35">
      <c r="B89" s="15">
        <v>1913168</v>
      </c>
      <c r="D89" s="15">
        <v>152943</v>
      </c>
      <c r="W89" s="5" t="s">
        <v>81</v>
      </c>
      <c r="X89" s="11">
        <v>6765.7933319067015</v>
      </c>
      <c r="AA89" s="19" t="str">
        <f t="shared" si="8"/>
        <v>Maharashtra</v>
      </c>
      <c r="AB89" s="20">
        <f t="shared" si="8"/>
        <v>6765.7933319067015</v>
      </c>
    </row>
    <row r="90" spans="1:33" x14ac:dyDescent="0.35">
      <c r="W90" s="5" t="s">
        <v>80</v>
      </c>
      <c r="X90" s="11">
        <v>4984.4523853164774</v>
      </c>
      <c r="AA90" s="19" t="str">
        <f t="shared" si="8"/>
        <v>Kerala</v>
      </c>
      <c r="AB90" s="20">
        <f t="shared" si="8"/>
        <v>4984.4523853164774</v>
      </c>
    </row>
    <row r="91" spans="1:33" x14ac:dyDescent="0.35">
      <c r="W91" s="5" t="s">
        <v>83</v>
      </c>
      <c r="X91" s="11">
        <v>3763.7787876032853</v>
      </c>
      <c r="AA91" s="19" t="str">
        <f>W91</f>
        <v>Tamil Nadu</v>
      </c>
      <c r="AB91" s="20">
        <f>X91</f>
        <v>3763.7787876032853</v>
      </c>
    </row>
    <row r="92" spans="1:33" x14ac:dyDescent="0.35">
      <c r="B92" t="s">
        <v>162</v>
      </c>
      <c r="C92" t="s">
        <v>163</v>
      </c>
      <c r="W92" s="5" t="s">
        <v>68</v>
      </c>
      <c r="X92" s="11">
        <v>3107.9189666883244</v>
      </c>
      <c r="AA92" s="19" t="str">
        <f t="shared" si="8"/>
        <v>Madhya Pradesh</v>
      </c>
      <c r="AB92" s="20">
        <f t="shared" si="8"/>
        <v>3107.9189666883244</v>
      </c>
    </row>
    <row r="93" spans="1:33" x14ac:dyDescent="0.35">
      <c r="B93" s="15">
        <f>B89</f>
        <v>1913168</v>
      </c>
      <c r="C93" s="15">
        <f>D89</f>
        <v>152943</v>
      </c>
      <c r="W93" s="5" t="s">
        <v>85</v>
      </c>
      <c r="X93" s="11">
        <v>1578.9192926910594</v>
      </c>
      <c r="AA93" s="19" t="str">
        <f t="shared" si="8"/>
        <v>West Bengal</v>
      </c>
      <c r="AB93" s="20">
        <f t="shared" si="8"/>
        <v>1578.9192926910594</v>
      </c>
    </row>
    <row r="94" spans="1:33" x14ac:dyDescent="0.35">
      <c r="W94" s="5" t="s">
        <v>77</v>
      </c>
      <c r="X94" s="11">
        <v>1272.9329547338407</v>
      </c>
      <c r="AA94" s="19" t="str">
        <f t="shared" si="8"/>
        <v>Goa</v>
      </c>
      <c r="AB94" s="20">
        <f t="shared" si="8"/>
        <v>1272.9329547338407</v>
      </c>
    </row>
    <row r="95" spans="1:33" x14ac:dyDescent="0.35">
      <c r="W95" s="5" t="s">
        <v>53</v>
      </c>
      <c r="X95" s="11">
        <v>1250.0000000000005</v>
      </c>
      <c r="AA95" s="19" t="str">
        <f t="shared" si="8"/>
        <v>Arunachal Pradesh</v>
      </c>
      <c r="AB95" s="20">
        <f t="shared" si="8"/>
        <v>1250.0000000000005</v>
      </c>
    </row>
    <row r="96" spans="1:33" x14ac:dyDescent="0.35">
      <c r="W96" s="5" t="s">
        <v>76</v>
      </c>
      <c r="X96" s="11">
        <v>1155.8854775726768</v>
      </c>
    </row>
    <row r="97" spans="1:24" x14ac:dyDescent="0.35">
      <c r="W97" s="5" t="s">
        <v>55</v>
      </c>
      <c r="X97" s="11">
        <v>1100.9949924898747</v>
      </c>
    </row>
    <row r="98" spans="1:24" x14ac:dyDescent="0.35">
      <c r="A98" s="3" t="s">
        <v>86</v>
      </c>
      <c r="B98" t="s">
        <v>88</v>
      </c>
      <c r="W98" s="5" t="s">
        <v>65</v>
      </c>
      <c r="X98" s="11">
        <v>833.06506255658587</v>
      </c>
    </row>
    <row r="99" spans="1:24" x14ac:dyDescent="0.35">
      <c r="A99" s="4" t="s">
        <v>22</v>
      </c>
      <c r="B99">
        <v>489473</v>
      </c>
      <c r="W99" s="5" t="s">
        <v>82</v>
      </c>
      <c r="X99" s="11">
        <v>761.08821552950758</v>
      </c>
    </row>
    <row r="100" spans="1:24" x14ac:dyDescent="0.35">
      <c r="A100" s="4" t="s">
        <v>40</v>
      </c>
      <c r="B100">
        <v>272575</v>
      </c>
      <c r="W100" s="5" t="s">
        <v>63</v>
      </c>
      <c r="X100" s="11">
        <v>679.08580287054156</v>
      </c>
    </row>
    <row r="101" spans="1:24" x14ac:dyDescent="0.35">
      <c r="A101" s="4" t="s">
        <v>38</v>
      </c>
      <c r="B101">
        <v>204449</v>
      </c>
      <c r="W101" s="5" t="s">
        <v>78</v>
      </c>
      <c r="X101" s="11">
        <v>598.5856877107534</v>
      </c>
    </row>
    <row r="102" spans="1:24" x14ac:dyDescent="0.35">
      <c r="A102" s="4" t="s">
        <v>35</v>
      </c>
      <c r="B102">
        <v>170394</v>
      </c>
      <c r="W102" s="5" t="s">
        <v>67</v>
      </c>
      <c r="X102" s="11">
        <v>476.96955856796859</v>
      </c>
    </row>
    <row r="103" spans="1:24" x14ac:dyDescent="0.35">
      <c r="A103" s="4" t="s">
        <v>37</v>
      </c>
      <c r="B103">
        <v>167274</v>
      </c>
      <c r="W103" s="5" t="s">
        <v>54</v>
      </c>
      <c r="X103" s="11">
        <v>443.2333984375</v>
      </c>
    </row>
    <row r="104" spans="1:24" x14ac:dyDescent="0.35">
      <c r="A104" s="4" t="s">
        <v>87</v>
      </c>
      <c r="B104">
        <v>1304165</v>
      </c>
      <c r="W104" s="5" t="s">
        <v>70</v>
      </c>
      <c r="X104" s="11">
        <v>418.2943631947843</v>
      </c>
    </row>
    <row r="105" spans="1:24" x14ac:dyDescent="0.35">
      <c r="W105" s="5" t="s">
        <v>66</v>
      </c>
      <c r="X105" s="11">
        <v>235.51378168246583</v>
      </c>
    </row>
    <row r="106" spans="1:24" x14ac:dyDescent="0.35">
      <c r="W106" s="5" t="s">
        <v>74</v>
      </c>
      <c r="X106" s="11">
        <v>231.64272994187397</v>
      </c>
    </row>
    <row r="107" spans="1:24" x14ac:dyDescent="0.35">
      <c r="W107" s="5" t="s">
        <v>69</v>
      </c>
      <c r="X107" s="11">
        <v>225.29517649813411</v>
      </c>
    </row>
    <row r="108" spans="1:24" x14ac:dyDescent="0.35">
      <c r="W108" s="5" t="s">
        <v>60</v>
      </c>
      <c r="X108" s="11">
        <v>160.41408576119315</v>
      </c>
    </row>
    <row r="109" spans="1:24" x14ac:dyDescent="0.35">
      <c r="A109" s="3" t="s">
        <v>86</v>
      </c>
      <c r="B109" t="s">
        <v>88</v>
      </c>
      <c r="C109" t="s">
        <v>102</v>
      </c>
      <c r="F109" t="s">
        <v>103</v>
      </c>
      <c r="G109" t="s">
        <v>168</v>
      </c>
      <c r="H109" t="s">
        <v>169</v>
      </c>
      <c r="I109" t="s">
        <v>170</v>
      </c>
      <c r="L109" t="s">
        <v>103</v>
      </c>
      <c r="M109" t="s">
        <v>168</v>
      </c>
      <c r="N109" t="s">
        <v>169</v>
      </c>
      <c r="O109" t="s">
        <v>170</v>
      </c>
      <c r="R109" t="s">
        <v>103</v>
      </c>
      <c r="S109" t="s">
        <v>171</v>
      </c>
      <c r="W109" s="5" t="s">
        <v>75</v>
      </c>
      <c r="X109" s="11">
        <v>72.762234443262699</v>
      </c>
    </row>
    <row r="110" spans="1:24" x14ac:dyDescent="0.35">
      <c r="A110" s="4" t="s">
        <v>73</v>
      </c>
      <c r="B110">
        <v>2</v>
      </c>
      <c r="C110">
        <v>660</v>
      </c>
      <c r="D110" s="6">
        <f>B110/C110</f>
        <v>3.0303030303030303E-3</v>
      </c>
      <c r="F110" t="str">
        <f>A110</f>
        <v>Andaman &amp; Nicobar</v>
      </c>
      <c r="G110">
        <f t="shared" ref="G110:I125" si="9">B110</f>
        <v>2</v>
      </c>
      <c r="H110">
        <f t="shared" si="9"/>
        <v>660</v>
      </c>
      <c r="I110" s="6">
        <f t="shared" si="9"/>
        <v>3.0303030303030303E-3</v>
      </c>
      <c r="L110" t="s">
        <v>77</v>
      </c>
      <c r="M110">
        <v>19684</v>
      </c>
      <c r="N110">
        <v>199970</v>
      </c>
      <c r="O110" s="6">
        <v>9.8434765214782213E-2</v>
      </c>
      <c r="R110" t="str">
        <f>L110</f>
        <v>Goa</v>
      </c>
      <c r="S110" s="6">
        <f>VLOOKUP(L110,L109:O144,4,FALSE)</f>
        <v>9.8434765214782213E-2</v>
      </c>
      <c r="W110" s="5" t="s">
        <v>56</v>
      </c>
      <c r="X110" s="11">
        <v>65.560104216332164</v>
      </c>
    </row>
    <row r="111" spans="1:24" x14ac:dyDescent="0.35">
      <c r="A111" s="4" t="s">
        <v>52</v>
      </c>
      <c r="B111">
        <v>78</v>
      </c>
      <c r="C111">
        <v>18225</v>
      </c>
      <c r="D111" s="6">
        <f t="shared" ref="D111:D144" si="10">B111/C111</f>
        <v>4.2798353909465018E-3</v>
      </c>
      <c r="F111" t="str">
        <f t="shared" ref="F111:F144" si="11">A111</f>
        <v>Andaman &amp; Nicobar Island</v>
      </c>
      <c r="G111">
        <f t="shared" si="9"/>
        <v>78</v>
      </c>
      <c r="H111">
        <f t="shared" si="9"/>
        <v>18225</v>
      </c>
      <c r="I111" s="6">
        <f t="shared" si="9"/>
        <v>4.2798353909465018E-3</v>
      </c>
      <c r="L111" t="s">
        <v>79</v>
      </c>
      <c r="M111">
        <v>312995</v>
      </c>
      <c r="N111">
        <v>3994329</v>
      </c>
      <c r="O111" s="6">
        <v>7.8359844669780576E-2</v>
      </c>
      <c r="R111" t="str">
        <f>L111</f>
        <v>Karnataka</v>
      </c>
      <c r="S111" s="6">
        <f>VLOOKUP(L111,L110:O145,4,FALSE)</f>
        <v>7.8359844669780576E-2</v>
      </c>
      <c r="W111" s="5" t="s">
        <v>57</v>
      </c>
      <c r="X111" s="11">
        <v>39.733844107062467</v>
      </c>
    </row>
    <row r="112" spans="1:24" x14ac:dyDescent="0.35">
      <c r="A112" s="4" t="s">
        <v>76</v>
      </c>
      <c r="B112">
        <v>77422</v>
      </c>
      <c r="C112">
        <v>2283871</v>
      </c>
      <c r="D112" s="6">
        <f t="shared" si="10"/>
        <v>3.3899462798030189E-2</v>
      </c>
      <c r="F112" t="str">
        <f t="shared" si="11"/>
        <v>Andhra Pradesh</v>
      </c>
      <c r="G112">
        <f t="shared" si="9"/>
        <v>77422</v>
      </c>
      <c r="H112">
        <f t="shared" si="9"/>
        <v>2283871</v>
      </c>
      <c r="I112" s="6">
        <f t="shared" si="9"/>
        <v>3.3899462798030189E-2</v>
      </c>
      <c r="L112" t="s">
        <v>67</v>
      </c>
      <c r="M112">
        <v>107312</v>
      </c>
      <c r="N112">
        <v>1588436</v>
      </c>
      <c r="O112" s="6">
        <v>6.7558277450271834E-2</v>
      </c>
      <c r="R112" t="str">
        <f>L112</f>
        <v>Delhi</v>
      </c>
      <c r="S112" s="6">
        <f>VLOOKUP(L112,L111:O146,4,FALSE)</f>
        <v>6.7558277450271834E-2</v>
      </c>
      <c r="W112" s="5" t="s">
        <v>71</v>
      </c>
      <c r="X112" s="11">
        <v>37.758008006380159</v>
      </c>
    </row>
    <row r="113" spans="1:24" x14ac:dyDescent="0.35">
      <c r="A113" s="4" t="s">
        <v>53</v>
      </c>
      <c r="B113">
        <v>33</v>
      </c>
      <c r="C113">
        <v>71547</v>
      </c>
      <c r="D113" s="6">
        <f t="shared" si="10"/>
        <v>4.6123527191915803E-4</v>
      </c>
      <c r="F113" t="str">
        <f t="shared" si="11"/>
        <v>Arunachal Pradesh</v>
      </c>
      <c r="G113">
        <f t="shared" si="9"/>
        <v>33</v>
      </c>
      <c r="H113">
        <f t="shared" si="9"/>
        <v>71547</v>
      </c>
      <c r="I113" s="6">
        <f t="shared" si="9"/>
        <v>4.6123527191915803E-4</v>
      </c>
      <c r="L113" t="s">
        <v>80</v>
      </c>
      <c r="M113">
        <v>137060</v>
      </c>
      <c r="N113">
        <v>2064677</v>
      </c>
      <c r="O113" s="6">
        <v>6.6383264791538818E-2</v>
      </c>
      <c r="R113" t="str">
        <f>L113</f>
        <v>Kerala</v>
      </c>
      <c r="S113" s="6">
        <f>VLOOKUP(L113,L112:O147,4,FALSE)</f>
        <v>6.6383264791538818E-2</v>
      </c>
      <c r="W113" s="5" t="s">
        <v>72</v>
      </c>
      <c r="X113" s="11">
        <v>6.0167988754297435</v>
      </c>
    </row>
    <row r="114" spans="1:24" x14ac:dyDescent="0.35">
      <c r="A114" s="4" t="s">
        <v>54</v>
      </c>
      <c r="B114">
        <v>6418</v>
      </c>
      <c r="C114">
        <v>1403271</v>
      </c>
      <c r="D114" s="6">
        <f t="shared" si="10"/>
        <v>4.5735998249803499E-3</v>
      </c>
      <c r="F114" t="str">
        <f t="shared" si="11"/>
        <v>Assam</v>
      </c>
      <c r="G114">
        <f t="shared" si="9"/>
        <v>6418</v>
      </c>
      <c r="H114">
        <f t="shared" si="9"/>
        <v>1403271</v>
      </c>
      <c r="I114" s="6">
        <f t="shared" si="9"/>
        <v>4.5735998249803499E-3</v>
      </c>
      <c r="L114" t="s">
        <v>81</v>
      </c>
      <c r="M114">
        <v>396045</v>
      </c>
      <c r="N114">
        <v>6101429</v>
      </c>
      <c r="O114" s="6">
        <v>6.4910203822743817E-2</v>
      </c>
      <c r="R114" t="str">
        <f>L114</f>
        <v>Maharashtra</v>
      </c>
      <c r="S114" s="6">
        <f>VLOOKUP(L114,L113:O148,4,FALSE)</f>
        <v>6.4910203822743817E-2</v>
      </c>
      <c r="W114" s="5" t="s">
        <v>64</v>
      </c>
      <c r="X114" s="11">
        <v>4.915981011313316</v>
      </c>
    </row>
    <row r="115" spans="1:24" x14ac:dyDescent="0.35">
      <c r="A115" s="4" t="s">
        <v>65</v>
      </c>
      <c r="B115">
        <v>31019</v>
      </c>
      <c r="C115">
        <v>3048373</v>
      </c>
      <c r="D115" s="6">
        <f t="shared" si="10"/>
        <v>1.0175592028928218E-2</v>
      </c>
      <c r="F115" t="str">
        <f t="shared" si="11"/>
        <v>Bihar</v>
      </c>
      <c r="G115">
        <f t="shared" si="9"/>
        <v>31019</v>
      </c>
      <c r="H115">
        <f t="shared" si="9"/>
        <v>3048373</v>
      </c>
      <c r="I115" s="6">
        <f t="shared" si="9"/>
        <v>1.0175592028928218E-2</v>
      </c>
      <c r="L115" t="s">
        <v>69</v>
      </c>
      <c r="M115">
        <v>78267</v>
      </c>
      <c r="N115">
        <v>1688794</v>
      </c>
      <c r="O115" s="6">
        <v>4.634490648356164E-2</v>
      </c>
      <c r="W115" s="5" t="s">
        <v>62</v>
      </c>
      <c r="X115" s="11">
        <v>3</v>
      </c>
    </row>
    <row r="116" spans="1:24" x14ac:dyDescent="0.35">
      <c r="A116" s="4" t="s">
        <v>66</v>
      </c>
      <c r="B116">
        <v>5279</v>
      </c>
      <c r="C116">
        <v>130628</v>
      </c>
      <c r="D116" s="6">
        <f t="shared" si="10"/>
        <v>4.0412468995927368E-2</v>
      </c>
      <c r="F116" t="str">
        <f t="shared" si="11"/>
        <v>Chandigarh</v>
      </c>
      <c r="G116">
        <f t="shared" si="9"/>
        <v>5279</v>
      </c>
      <c r="H116">
        <f t="shared" si="9"/>
        <v>130628</v>
      </c>
      <c r="I116" s="6">
        <f t="shared" si="9"/>
        <v>4.0412468995927368E-2</v>
      </c>
      <c r="L116" t="s">
        <v>82</v>
      </c>
      <c r="M116">
        <v>150366</v>
      </c>
      <c r="N116">
        <v>3307591</v>
      </c>
      <c r="O116" s="6">
        <v>4.5460880743719526E-2</v>
      </c>
      <c r="W116" s="5" t="s">
        <v>58</v>
      </c>
      <c r="X116" s="11">
        <v>1.4228148148148143</v>
      </c>
    </row>
    <row r="117" spans="1:24" x14ac:dyDescent="0.35">
      <c r="A117" s="4" t="s">
        <v>55</v>
      </c>
      <c r="B117">
        <v>53804</v>
      </c>
      <c r="C117">
        <v>1334989</v>
      </c>
      <c r="D117" s="6">
        <f t="shared" si="10"/>
        <v>4.030295380711002E-2</v>
      </c>
      <c r="F117" t="str">
        <f t="shared" si="11"/>
        <v>Chhattisgarh</v>
      </c>
      <c r="G117">
        <f t="shared" si="9"/>
        <v>53804</v>
      </c>
      <c r="H117">
        <f t="shared" si="9"/>
        <v>1334989</v>
      </c>
      <c r="I117" s="6">
        <f t="shared" si="9"/>
        <v>4.030295380711002E-2</v>
      </c>
      <c r="L117" t="s">
        <v>78</v>
      </c>
      <c r="M117">
        <v>181389</v>
      </c>
      <c r="N117">
        <v>4125551</v>
      </c>
      <c r="O117" s="6">
        <v>4.3967217954644117E-2</v>
      </c>
      <c r="W117" s="5" t="s">
        <v>59</v>
      </c>
      <c r="X117" s="11">
        <v>1.1565030774214455</v>
      </c>
    </row>
    <row r="118" spans="1:24" x14ac:dyDescent="0.35">
      <c r="A118" s="4" t="s">
        <v>67</v>
      </c>
      <c r="B118">
        <v>107312</v>
      </c>
      <c r="C118">
        <v>1588436</v>
      </c>
      <c r="D118" s="6">
        <f t="shared" si="10"/>
        <v>6.7558277450271834E-2</v>
      </c>
      <c r="F118" t="str">
        <f t="shared" si="11"/>
        <v>Delhi</v>
      </c>
      <c r="G118">
        <f t="shared" si="9"/>
        <v>107312</v>
      </c>
      <c r="H118">
        <f t="shared" si="9"/>
        <v>1588436</v>
      </c>
      <c r="I118" s="6">
        <f t="shared" si="9"/>
        <v>6.7558277450271834E-2</v>
      </c>
      <c r="L118" t="s">
        <v>83</v>
      </c>
      <c r="M118">
        <v>200062</v>
      </c>
      <c r="N118">
        <v>4652363</v>
      </c>
      <c r="O118" s="6">
        <v>4.3002233488659419E-2</v>
      </c>
      <c r="W118" s="5" t="s">
        <v>52</v>
      </c>
      <c r="X118" s="11">
        <v>0.53924550012328409</v>
      </c>
    </row>
    <row r="119" spans="1:24" x14ac:dyDescent="0.35">
      <c r="A119" s="4" t="s">
        <v>56</v>
      </c>
      <c r="B119">
        <v>355</v>
      </c>
      <c r="C119">
        <v>43397</v>
      </c>
      <c r="D119" s="6">
        <f t="shared" si="10"/>
        <v>8.1802889600663641E-3</v>
      </c>
      <c r="F119" t="str">
        <f t="shared" si="11"/>
        <v>DNH and DD</v>
      </c>
      <c r="G119">
        <f t="shared" si="9"/>
        <v>355</v>
      </c>
      <c r="H119">
        <f t="shared" si="9"/>
        <v>43397</v>
      </c>
      <c r="I119" s="6">
        <f t="shared" si="9"/>
        <v>8.1802889600663641E-3</v>
      </c>
      <c r="L119" t="s">
        <v>66</v>
      </c>
      <c r="M119">
        <v>5279</v>
      </c>
      <c r="N119">
        <v>130628</v>
      </c>
      <c r="O119" s="6">
        <v>4.0412468995927368E-2</v>
      </c>
    </row>
    <row r="120" spans="1:24" x14ac:dyDescent="0.35">
      <c r="A120" s="4" t="s">
        <v>77</v>
      </c>
      <c r="B120">
        <v>19684</v>
      </c>
      <c r="C120">
        <v>199970</v>
      </c>
      <c r="D120" s="6">
        <f t="shared" si="10"/>
        <v>9.8434765214782213E-2</v>
      </c>
      <c r="F120" t="str">
        <f t="shared" si="11"/>
        <v>Goa</v>
      </c>
      <c r="G120">
        <f t="shared" si="9"/>
        <v>19684</v>
      </c>
      <c r="H120">
        <f t="shared" si="9"/>
        <v>199970</v>
      </c>
      <c r="I120" s="6">
        <f t="shared" si="9"/>
        <v>9.8434765214782213E-2</v>
      </c>
      <c r="L120" t="s">
        <v>55</v>
      </c>
      <c r="M120">
        <v>53804</v>
      </c>
      <c r="N120">
        <v>1334989</v>
      </c>
      <c r="O120" s="6">
        <v>4.030295380711002E-2</v>
      </c>
    </row>
    <row r="121" spans="1:24" x14ac:dyDescent="0.35">
      <c r="A121" s="4" t="s">
        <v>78</v>
      </c>
      <c r="B121">
        <v>181389</v>
      </c>
      <c r="C121">
        <v>4125551</v>
      </c>
      <c r="D121" s="6">
        <f t="shared" si="10"/>
        <v>4.3967217954644117E-2</v>
      </c>
      <c r="F121" t="str">
        <f t="shared" si="11"/>
        <v>Gujarat</v>
      </c>
      <c r="G121">
        <f t="shared" si="9"/>
        <v>181389</v>
      </c>
      <c r="H121">
        <f t="shared" si="9"/>
        <v>4125551</v>
      </c>
      <c r="I121" s="6">
        <f t="shared" si="9"/>
        <v>4.3967217954644117E-2</v>
      </c>
      <c r="L121" t="s">
        <v>63</v>
      </c>
      <c r="M121">
        <v>5536</v>
      </c>
      <c r="N121">
        <v>150798</v>
      </c>
      <c r="O121" s="6">
        <v>3.6711362219658088E-2</v>
      </c>
    </row>
    <row r="122" spans="1:24" x14ac:dyDescent="0.35">
      <c r="A122" s="4" t="s">
        <v>74</v>
      </c>
      <c r="B122">
        <v>30797</v>
      </c>
      <c r="C122">
        <v>1902768</v>
      </c>
      <c r="D122" s="6">
        <f t="shared" si="10"/>
        <v>1.6185367843058112E-2</v>
      </c>
      <c r="F122" t="str">
        <f t="shared" si="11"/>
        <v>Haryana</v>
      </c>
      <c r="G122">
        <f t="shared" si="9"/>
        <v>30797</v>
      </c>
      <c r="H122">
        <f t="shared" si="9"/>
        <v>1902768</v>
      </c>
      <c r="I122" s="6">
        <f t="shared" si="9"/>
        <v>1.6185367843058112E-2</v>
      </c>
      <c r="L122" t="s">
        <v>76</v>
      </c>
      <c r="M122">
        <v>77422</v>
      </c>
      <c r="N122">
        <v>2283871</v>
      </c>
      <c r="O122" s="6">
        <v>3.3899462798030189E-2</v>
      </c>
    </row>
    <row r="123" spans="1:24" x14ac:dyDescent="0.35">
      <c r="A123" s="4" t="s">
        <v>72</v>
      </c>
      <c r="B123">
        <v>2595</v>
      </c>
      <c r="C123">
        <v>325366</v>
      </c>
      <c r="D123" s="6">
        <f t="shared" si="10"/>
        <v>7.9756335941677994E-3</v>
      </c>
      <c r="F123" t="str">
        <f t="shared" si="11"/>
        <v>Himachal Pradesh</v>
      </c>
      <c r="G123">
        <f t="shared" si="9"/>
        <v>2595</v>
      </c>
      <c r="H123">
        <f t="shared" si="9"/>
        <v>325366</v>
      </c>
      <c r="I123" s="6">
        <f t="shared" si="9"/>
        <v>7.9756335941677994E-3</v>
      </c>
      <c r="L123" t="s">
        <v>71</v>
      </c>
      <c r="M123">
        <v>15127</v>
      </c>
      <c r="N123">
        <v>622707</v>
      </c>
      <c r="O123" s="6">
        <v>2.429232367710657E-2</v>
      </c>
    </row>
    <row r="124" spans="1:24" x14ac:dyDescent="0.35">
      <c r="A124" s="4" t="s">
        <v>57</v>
      </c>
      <c r="B124">
        <v>5971</v>
      </c>
      <c r="C124">
        <v>414553</v>
      </c>
      <c r="D124" s="6">
        <f t="shared" si="10"/>
        <v>1.4403465901826788E-2</v>
      </c>
      <c r="F124" t="str">
        <f t="shared" si="11"/>
        <v>Jammu and Kashmir</v>
      </c>
      <c r="G124">
        <f t="shared" si="9"/>
        <v>5971</v>
      </c>
      <c r="H124">
        <f t="shared" si="9"/>
        <v>414553</v>
      </c>
      <c r="I124" s="6">
        <f t="shared" si="9"/>
        <v>1.4403465901826788E-2</v>
      </c>
      <c r="L124" t="s">
        <v>68</v>
      </c>
      <c r="M124">
        <v>78979</v>
      </c>
      <c r="N124">
        <v>3498698</v>
      </c>
      <c r="O124" s="6">
        <v>2.2573826034713484E-2</v>
      </c>
    </row>
    <row r="125" spans="1:24" x14ac:dyDescent="0.35">
      <c r="A125" s="4" t="s">
        <v>75</v>
      </c>
      <c r="B125">
        <v>18461</v>
      </c>
      <c r="C125">
        <v>1364886</v>
      </c>
      <c r="D125" s="6">
        <f t="shared" si="10"/>
        <v>1.3525671741083139E-2</v>
      </c>
      <c r="F125" t="str">
        <f t="shared" si="11"/>
        <v>Jharkhand</v>
      </c>
      <c r="G125">
        <f t="shared" si="9"/>
        <v>18461</v>
      </c>
      <c r="H125">
        <f t="shared" si="9"/>
        <v>1364886</v>
      </c>
      <c r="I125" s="6">
        <f t="shared" si="9"/>
        <v>1.3525671741083139E-2</v>
      </c>
      <c r="L125" t="s">
        <v>74</v>
      </c>
      <c r="M125">
        <v>30797</v>
      </c>
      <c r="N125">
        <v>1902768</v>
      </c>
      <c r="O125" s="6">
        <v>1.6185367843058112E-2</v>
      </c>
    </row>
    <row r="126" spans="1:24" x14ac:dyDescent="0.35">
      <c r="A126" s="4" t="s">
        <v>79</v>
      </c>
      <c r="B126">
        <v>312995</v>
      </c>
      <c r="C126">
        <v>3994329</v>
      </c>
      <c r="D126" s="6">
        <f t="shared" si="10"/>
        <v>7.8359844669780576E-2</v>
      </c>
      <c r="F126" t="str">
        <f t="shared" si="11"/>
        <v>Karnataka</v>
      </c>
      <c r="G126">
        <f t="shared" ref="G126:G144" si="12">B126</f>
        <v>312995</v>
      </c>
      <c r="H126">
        <f t="shared" ref="H126:H144" si="13">C126</f>
        <v>3994329</v>
      </c>
      <c r="I126" s="6">
        <f t="shared" ref="I126:I144" si="14">D126</f>
        <v>7.8359844669780576E-2</v>
      </c>
      <c r="L126" t="s">
        <v>70</v>
      </c>
      <c r="M126">
        <v>23833</v>
      </c>
      <c r="N126">
        <v>1543962</v>
      </c>
      <c r="O126" s="6">
        <v>1.543626073698705E-2</v>
      </c>
    </row>
    <row r="127" spans="1:24" x14ac:dyDescent="0.35">
      <c r="A127" s="4" t="s">
        <v>80</v>
      </c>
      <c r="B127">
        <v>137060</v>
      </c>
      <c r="C127">
        <v>2064677</v>
      </c>
      <c r="D127" s="6">
        <f t="shared" si="10"/>
        <v>6.6383264791538818E-2</v>
      </c>
      <c r="F127" t="str">
        <f t="shared" si="11"/>
        <v>Kerala</v>
      </c>
      <c r="G127">
        <f t="shared" si="12"/>
        <v>137060</v>
      </c>
      <c r="H127">
        <f t="shared" si="13"/>
        <v>2064677</v>
      </c>
      <c r="I127" s="6">
        <f t="shared" si="14"/>
        <v>6.6383264791538818E-2</v>
      </c>
      <c r="L127" t="s">
        <v>57</v>
      </c>
      <c r="M127">
        <v>5971</v>
      </c>
      <c r="N127">
        <v>414553</v>
      </c>
      <c r="O127" s="6">
        <v>1.4403465901826788E-2</v>
      </c>
    </row>
    <row r="128" spans="1:24" x14ac:dyDescent="0.35">
      <c r="A128" s="4" t="s">
        <v>58</v>
      </c>
      <c r="B128">
        <v>68</v>
      </c>
      <c r="C128">
        <v>10496</v>
      </c>
      <c r="D128" s="6">
        <f t="shared" si="10"/>
        <v>6.4786585365853655E-3</v>
      </c>
      <c r="F128" t="str">
        <f t="shared" si="11"/>
        <v>Ladakh</v>
      </c>
      <c r="G128">
        <f t="shared" si="12"/>
        <v>68</v>
      </c>
      <c r="H128">
        <f t="shared" si="13"/>
        <v>10496</v>
      </c>
      <c r="I128" s="6">
        <f t="shared" si="14"/>
        <v>6.4786585365853655E-3</v>
      </c>
      <c r="L128" t="s">
        <v>75</v>
      </c>
      <c r="M128">
        <v>18461</v>
      </c>
      <c r="N128">
        <v>1364886</v>
      </c>
      <c r="O128" s="6">
        <v>1.3525671741083139E-2</v>
      </c>
    </row>
    <row r="129" spans="1:15" x14ac:dyDescent="0.35">
      <c r="A129" s="4" t="s">
        <v>68</v>
      </c>
      <c r="B129">
        <v>78979</v>
      </c>
      <c r="C129">
        <v>3498698</v>
      </c>
      <c r="D129" s="6">
        <f t="shared" si="10"/>
        <v>2.2573826034713484E-2</v>
      </c>
      <c r="F129" t="str">
        <f t="shared" si="11"/>
        <v>Madhya Pradesh</v>
      </c>
      <c r="G129">
        <f t="shared" si="12"/>
        <v>78979</v>
      </c>
      <c r="H129">
        <f t="shared" si="13"/>
        <v>3498698</v>
      </c>
      <c r="I129" s="6">
        <f t="shared" si="14"/>
        <v>2.2573826034713484E-2</v>
      </c>
      <c r="L129" t="s">
        <v>84</v>
      </c>
      <c r="M129">
        <v>95203</v>
      </c>
      <c r="N129">
        <v>8127084</v>
      </c>
      <c r="O129" s="6">
        <v>1.1714287683011521E-2</v>
      </c>
    </row>
    <row r="130" spans="1:15" x14ac:dyDescent="0.35">
      <c r="A130" s="4" t="s">
        <v>81</v>
      </c>
      <c r="B130">
        <v>396045</v>
      </c>
      <c r="C130">
        <v>6101429</v>
      </c>
      <c r="D130" s="6">
        <f t="shared" si="10"/>
        <v>6.4910203822743817E-2</v>
      </c>
      <c r="F130" t="str">
        <f t="shared" si="11"/>
        <v>Maharashtra</v>
      </c>
      <c r="G130">
        <f t="shared" si="12"/>
        <v>396045</v>
      </c>
      <c r="H130">
        <f t="shared" si="13"/>
        <v>6101429</v>
      </c>
      <c r="I130" s="6">
        <f t="shared" si="14"/>
        <v>6.4910203822743817E-2</v>
      </c>
      <c r="L130" t="s">
        <v>85</v>
      </c>
      <c r="M130">
        <v>30560</v>
      </c>
      <c r="N130">
        <v>2736176</v>
      </c>
      <c r="O130" s="6">
        <v>1.1168872177813123E-2</v>
      </c>
    </row>
    <row r="131" spans="1:15" x14ac:dyDescent="0.35">
      <c r="A131" s="4" t="s">
        <v>59</v>
      </c>
      <c r="B131">
        <v>299</v>
      </c>
      <c r="C131">
        <v>104513</v>
      </c>
      <c r="D131" s="6">
        <f t="shared" si="10"/>
        <v>2.860888119181346E-3</v>
      </c>
      <c r="F131" t="str">
        <f t="shared" si="11"/>
        <v>Manipur</v>
      </c>
      <c r="G131">
        <f t="shared" si="12"/>
        <v>299</v>
      </c>
      <c r="H131">
        <f t="shared" si="13"/>
        <v>104513</v>
      </c>
      <c r="I131" s="6">
        <f t="shared" si="14"/>
        <v>2.860888119181346E-3</v>
      </c>
      <c r="L131" t="s">
        <v>65</v>
      </c>
      <c r="M131">
        <v>31019</v>
      </c>
      <c r="N131">
        <v>3048373</v>
      </c>
      <c r="O131" s="6">
        <v>1.0175592028928218E-2</v>
      </c>
    </row>
    <row r="132" spans="1:15" x14ac:dyDescent="0.35">
      <c r="A132" s="4" t="s">
        <v>60</v>
      </c>
      <c r="B132">
        <v>177</v>
      </c>
      <c r="C132">
        <v>90183</v>
      </c>
      <c r="D132" s="6">
        <f t="shared" si="10"/>
        <v>1.962675892352217E-3</v>
      </c>
      <c r="F132" t="str">
        <f t="shared" si="11"/>
        <v>Meghalaya</v>
      </c>
      <c r="G132">
        <f t="shared" si="12"/>
        <v>177</v>
      </c>
      <c r="H132">
        <f t="shared" si="13"/>
        <v>90183</v>
      </c>
      <c r="I132" s="6">
        <f t="shared" si="14"/>
        <v>1.962675892352217E-3</v>
      </c>
      <c r="L132" t="s">
        <v>56</v>
      </c>
      <c r="M132">
        <v>355</v>
      </c>
      <c r="N132">
        <v>43397</v>
      </c>
      <c r="O132" s="6">
        <v>8.1802889600663641E-3</v>
      </c>
    </row>
    <row r="133" spans="1:15" x14ac:dyDescent="0.35">
      <c r="A133" s="4" t="s">
        <v>61</v>
      </c>
      <c r="B133">
        <v>340</v>
      </c>
      <c r="C133">
        <v>71307</v>
      </c>
      <c r="D133" s="6">
        <f t="shared" si="10"/>
        <v>4.7681153322955668E-3</v>
      </c>
      <c r="F133" t="str">
        <f t="shared" si="11"/>
        <v>Mizoram</v>
      </c>
      <c r="G133">
        <f t="shared" si="12"/>
        <v>340</v>
      </c>
      <c r="H133">
        <f t="shared" si="13"/>
        <v>71307</v>
      </c>
      <c r="I133" s="6">
        <f t="shared" si="14"/>
        <v>4.7681153322955668E-3</v>
      </c>
      <c r="L133" t="s">
        <v>72</v>
      </c>
      <c r="M133">
        <v>2595</v>
      </c>
      <c r="N133">
        <v>325366</v>
      </c>
      <c r="O133" s="6">
        <v>7.9756335941677994E-3</v>
      </c>
    </row>
    <row r="134" spans="1:15" x14ac:dyDescent="0.35">
      <c r="A134" s="4" t="s">
        <v>62</v>
      </c>
      <c r="B134">
        <v>13</v>
      </c>
      <c r="C134">
        <v>44092</v>
      </c>
      <c r="D134" s="6">
        <f t="shared" si="10"/>
        <v>2.9483806586228797E-4</v>
      </c>
      <c r="F134" t="str">
        <f t="shared" si="11"/>
        <v>Nagaland</v>
      </c>
      <c r="G134">
        <f t="shared" si="12"/>
        <v>13</v>
      </c>
      <c r="H134">
        <f t="shared" si="13"/>
        <v>44092</v>
      </c>
      <c r="I134" s="6">
        <f t="shared" si="14"/>
        <v>2.9483806586228797E-4</v>
      </c>
      <c r="L134" t="s">
        <v>58</v>
      </c>
      <c r="M134">
        <v>68</v>
      </c>
      <c r="N134">
        <v>10496</v>
      </c>
      <c r="O134" s="6">
        <v>6.4786585365853655E-3</v>
      </c>
    </row>
    <row r="135" spans="1:15" x14ac:dyDescent="0.35">
      <c r="A135" s="4" t="s">
        <v>69</v>
      </c>
      <c r="B135">
        <v>78267</v>
      </c>
      <c r="C135">
        <v>1688794</v>
      </c>
      <c r="D135" s="6">
        <f t="shared" si="10"/>
        <v>4.634490648356164E-2</v>
      </c>
      <c r="F135" t="str">
        <f t="shared" si="11"/>
        <v>Odisha</v>
      </c>
      <c r="G135">
        <f t="shared" si="12"/>
        <v>78267</v>
      </c>
      <c r="H135">
        <f t="shared" si="13"/>
        <v>1688794</v>
      </c>
      <c r="I135" s="6">
        <f t="shared" si="14"/>
        <v>4.634490648356164E-2</v>
      </c>
      <c r="L135" t="s">
        <v>61</v>
      </c>
      <c r="M135">
        <v>340</v>
      </c>
      <c r="N135">
        <v>71307</v>
      </c>
      <c r="O135" s="6">
        <v>4.7681153322955668E-3</v>
      </c>
    </row>
    <row r="136" spans="1:15" x14ac:dyDescent="0.35">
      <c r="A136" s="4" t="s">
        <v>63</v>
      </c>
      <c r="B136">
        <v>5536</v>
      </c>
      <c r="C136">
        <v>150798</v>
      </c>
      <c r="D136" s="6">
        <f t="shared" si="10"/>
        <v>3.6711362219658088E-2</v>
      </c>
      <c r="F136" t="str">
        <f t="shared" si="11"/>
        <v>Puducherry</v>
      </c>
      <c r="G136">
        <f t="shared" si="12"/>
        <v>5536</v>
      </c>
      <c r="H136">
        <f t="shared" si="13"/>
        <v>150798</v>
      </c>
      <c r="I136" s="6">
        <f t="shared" si="14"/>
        <v>3.6711362219658088E-2</v>
      </c>
      <c r="L136" t="s">
        <v>54</v>
      </c>
      <c r="M136">
        <v>6418</v>
      </c>
      <c r="N136">
        <v>1403271</v>
      </c>
      <c r="O136" s="6">
        <v>4.5735998249803499E-3</v>
      </c>
    </row>
    <row r="137" spans="1:15" x14ac:dyDescent="0.35">
      <c r="A137" s="4" t="s">
        <v>70</v>
      </c>
      <c r="B137">
        <v>23833</v>
      </c>
      <c r="C137">
        <v>1543962</v>
      </c>
      <c r="D137" s="6">
        <f t="shared" si="10"/>
        <v>1.543626073698705E-2</v>
      </c>
      <c r="F137" t="str">
        <f t="shared" si="11"/>
        <v>Punjab</v>
      </c>
      <c r="G137">
        <f t="shared" si="12"/>
        <v>23833</v>
      </c>
      <c r="H137">
        <f t="shared" si="13"/>
        <v>1543962</v>
      </c>
      <c r="I137" s="6">
        <f t="shared" si="14"/>
        <v>1.543626073698705E-2</v>
      </c>
      <c r="L137" t="s">
        <v>64</v>
      </c>
      <c r="M137">
        <v>562</v>
      </c>
      <c r="N137">
        <v>125216</v>
      </c>
      <c r="O137" s="6">
        <v>4.4882443138257091E-3</v>
      </c>
    </row>
    <row r="138" spans="1:15" x14ac:dyDescent="0.35">
      <c r="A138" s="4" t="s">
        <v>82</v>
      </c>
      <c r="B138">
        <v>150366</v>
      </c>
      <c r="C138">
        <v>3307591</v>
      </c>
      <c r="D138" s="6">
        <f t="shared" si="10"/>
        <v>4.5460880743719526E-2</v>
      </c>
      <c r="F138" t="str">
        <f t="shared" si="11"/>
        <v>Rajasthan</v>
      </c>
      <c r="G138">
        <f t="shared" si="12"/>
        <v>150366</v>
      </c>
      <c r="H138">
        <f t="shared" si="13"/>
        <v>3307591</v>
      </c>
      <c r="I138" s="6">
        <f t="shared" si="14"/>
        <v>4.5460880743719526E-2</v>
      </c>
      <c r="L138" t="s">
        <v>52</v>
      </c>
      <c r="M138">
        <v>78</v>
      </c>
      <c r="N138">
        <v>18225</v>
      </c>
      <c r="O138" s="6">
        <v>4.2798353909465018E-3</v>
      </c>
    </row>
    <row r="139" spans="1:15" x14ac:dyDescent="0.35">
      <c r="A139" s="4" t="s">
        <v>51</v>
      </c>
      <c r="B139">
        <v>0</v>
      </c>
      <c r="C139">
        <v>29346</v>
      </c>
      <c r="D139" s="6">
        <f t="shared" si="10"/>
        <v>0</v>
      </c>
      <c r="F139" t="str">
        <f t="shared" si="11"/>
        <v>Sikkim</v>
      </c>
      <c r="G139">
        <f t="shared" si="12"/>
        <v>0</v>
      </c>
      <c r="H139">
        <f t="shared" si="13"/>
        <v>29346</v>
      </c>
      <c r="I139" s="6">
        <f t="shared" si="14"/>
        <v>0</v>
      </c>
      <c r="L139" t="s">
        <v>73</v>
      </c>
      <c r="M139">
        <v>2</v>
      </c>
      <c r="N139">
        <v>660</v>
      </c>
      <c r="O139" s="6">
        <v>3.0303030303030303E-3</v>
      </c>
    </row>
    <row r="140" spans="1:15" x14ac:dyDescent="0.35">
      <c r="A140" s="4" t="s">
        <v>83</v>
      </c>
      <c r="B140">
        <v>200062</v>
      </c>
      <c r="C140">
        <v>4652363</v>
      </c>
      <c r="D140" s="6">
        <f t="shared" si="10"/>
        <v>4.3002233488659419E-2</v>
      </c>
      <c r="F140" t="str">
        <f t="shared" si="11"/>
        <v>Tamil Nadu</v>
      </c>
      <c r="G140">
        <f t="shared" si="12"/>
        <v>200062</v>
      </c>
      <c r="H140">
        <f t="shared" si="13"/>
        <v>4652363</v>
      </c>
      <c r="I140" s="6">
        <f t="shared" si="14"/>
        <v>4.3002233488659419E-2</v>
      </c>
      <c r="L140" t="s">
        <v>59</v>
      </c>
      <c r="M140">
        <v>299</v>
      </c>
      <c r="N140">
        <v>104513</v>
      </c>
      <c r="O140" s="6">
        <v>2.860888119181346E-3</v>
      </c>
    </row>
    <row r="141" spans="1:15" x14ac:dyDescent="0.35">
      <c r="A141" s="4" t="s">
        <v>64</v>
      </c>
      <c r="B141">
        <v>562</v>
      </c>
      <c r="C141">
        <v>125216</v>
      </c>
      <c r="D141" s="6">
        <f t="shared" si="10"/>
        <v>4.4882443138257091E-3</v>
      </c>
      <c r="F141" t="str">
        <f t="shared" si="11"/>
        <v>Tripura</v>
      </c>
      <c r="G141">
        <f t="shared" si="12"/>
        <v>562</v>
      </c>
      <c r="H141">
        <f t="shared" si="13"/>
        <v>125216</v>
      </c>
      <c r="I141" s="6">
        <f t="shared" si="14"/>
        <v>4.4882443138257091E-3</v>
      </c>
      <c r="L141" t="s">
        <v>60</v>
      </c>
      <c r="M141">
        <v>177</v>
      </c>
      <c r="N141">
        <v>90183</v>
      </c>
      <c r="O141" s="6">
        <v>1.962675892352217E-3</v>
      </c>
    </row>
    <row r="142" spans="1:15" x14ac:dyDescent="0.35">
      <c r="A142" s="4" t="s">
        <v>84</v>
      </c>
      <c r="B142">
        <v>95203</v>
      </c>
      <c r="C142">
        <v>8127084</v>
      </c>
      <c r="D142" s="6">
        <f t="shared" si="10"/>
        <v>1.1714287683011521E-2</v>
      </c>
      <c r="F142" t="str">
        <f t="shared" si="11"/>
        <v>Uttar Pradesh</v>
      </c>
      <c r="G142">
        <f t="shared" si="12"/>
        <v>95203</v>
      </c>
      <c r="H142">
        <f t="shared" si="13"/>
        <v>8127084</v>
      </c>
      <c r="I142" s="6">
        <f t="shared" si="14"/>
        <v>1.1714287683011521E-2</v>
      </c>
      <c r="L142" t="s">
        <v>53</v>
      </c>
      <c r="M142">
        <v>33</v>
      </c>
      <c r="N142">
        <v>71547</v>
      </c>
      <c r="O142" s="6">
        <v>4.6123527191915803E-4</v>
      </c>
    </row>
    <row r="143" spans="1:15" x14ac:dyDescent="0.35">
      <c r="A143" s="4" t="s">
        <v>71</v>
      </c>
      <c r="B143">
        <v>15127</v>
      </c>
      <c r="C143">
        <v>622707</v>
      </c>
      <c r="D143" s="6">
        <f t="shared" si="10"/>
        <v>2.429232367710657E-2</v>
      </c>
      <c r="F143" t="str">
        <f t="shared" si="11"/>
        <v>Uttarakhand</v>
      </c>
      <c r="G143">
        <f t="shared" si="12"/>
        <v>15127</v>
      </c>
      <c r="H143">
        <f t="shared" si="13"/>
        <v>622707</v>
      </c>
      <c r="I143" s="6">
        <f t="shared" si="14"/>
        <v>2.429232367710657E-2</v>
      </c>
      <c r="L143" t="s">
        <v>62</v>
      </c>
      <c r="M143">
        <v>13</v>
      </c>
      <c r="N143">
        <v>44092</v>
      </c>
      <c r="O143" s="6">
        <v>2.9483806586228797E-4</v>
      </c>
    </row>
    <row r="144" spans="1:15" x14ac:dyDescent="0.35">
      <c r="A144" s="4" t="s">
        <v>85</v>
      </c>
      <c r="B144">
        <v>30560</v>
      </c>
      <c r="C144">
        <v>2736176</v>
      </c>
      <c r="D144" s="6">
        <f t="shared" si="10"/>
        <v>1.1168872177813123E-2</v>
      </c>
      <c r="F144" t="str">
        <f t="shared" si="11"/>
        <v>West Bengal</v>
      </c>
      <c r="G144">
        <f t="shared" si="12"/>
        <v>30560</v>
      </c>
      <c r="H144">
        <f t="shared" si="13"/>
        <v>2736176</v>
      </c>
      <c r="I144" s="6">
        <f t="shared" si="14"/>
        <v>1.1168872177813123E-2</v>
      </c>
      <c r="L144" t="s">
        <v>51</v>
      </c>
      <c r="M144">
        <v>0</v>
      </c>
      <c r="N144">
        <v>29346</v>
      </c>
      <c r="O144" s="6">
        <v>0</v>
      </c>
    </row>
    <row r="145" spans="1:5" x14ac:dyDescent="0.35">
      <c r="A145" s="4" t="s">
        <v>87</v>
      </c>
      <c r="B145">
        <v>2066111</v>
      </c>
      <c r="C145">
        <v>57220252</v>
      </c>
      <c r="D145" s="6"/>
    </row>
    <row r="151" spans="1:5" x14ac:dyDescent="0.35">
      <c r="A151" s="3" t="s">
        <v>18</v>
      </c>
      <c r="B151" t="s">
        <v>21</v>
      </c>
    </row>
    <row r="153" spans="1:5" x14ac:dyDescent="0.35">
      <c r="A153" s="3" t="s">
        <v>86</v>
      </c>
      <c r="B153" t="s">
        <v>88</v>
      </c>
    </row>
    <row r="154" spans="1:5" x14ac:dyDescent="0.35">
      <c r="A154" s="4" t="s">
        <v>47</v>
      </c>
      <c r="B154">
        <v>4841</v>
      </c>
      <c r="D154" t="str">
        <f>A154</f>
        <v>BATTRE ELECTRIC</v>
      </c>
      <c r="E154">
        <f t="shared" ref="E154:E158" si="15">B154</f>
        <v>4841</v>
      </c>
    </row>
    <row r="155" spans="1:5" x14ac:dyDescent="0.35">
      <c r="A155" s="4" t="s">
        <v>48</v>
      </c>
      <c r="B155">
        <v>9585</v>
      </c>
      <c r="D155" t="str">
        <f t="shared" ref="D155:D158" si="16">A155</f>
        <v>KINETIC GREEN</v>
      </c>
      <c r="E155">
        <f t="shared" si="15"/>
        <v>9585</v>
      </c>
    </row>
    <row r="156" spans="1:5" x14ac:dyDescent="0.35">
      <c r="A156" s="4" t="s">
        <v>44</v>
      </c>
      <c r="B156">
        <v>12438</v>
      </c>
      <c r="D156" t="str">
        <f t="shared" si="16"/>
        <v>JITENDRA</v>
      </c>
      <c r="E156">
        <f t="shared" si="15"/>
        <v>12438</v>
      </c>
    </row>
    <row r="157" spans="1:5" x14ac:dyDescent="0.35">
      <c r="A157" s="4" t="s">
        <v>46</v>
      </c>
      <c r="B157">
        <v>15051</v>
      </c>
      <c r="D157" t="str">
        <f t="shared" si="16"/>
        <v>BGAUSS</v>
      </c>
      <c r="E157">
        <f t="shared" si="15"/>
        <v>15051</v>
      </c>
    </row>
    <row r="158" spans="1:5" x14ac:dyDescent="0.35">
      <c r="A158" s="4" t="s">
        <v>43</v>
      </c>
      <c r="B158">
        <v>18392</v>
      </c>
      <c r="D158" t="str">
        <f t="shared" si="16"/>
        <v>BEING</v>
      </c>
      <c r="E158">
        <f t="shared" si="15"/>
        <v>18392</v>
      </c>
    </row>
    <row r="159" spans="1:5" x14ac:dyDescent="0.35">
      <c r="A159" s="4" t="s">
        <v>39</v>
      </c>
      <c r="B159">
        <v>26524</v>
      </c>
    </row>
    <row r="160" spans="1:5" x14ac:dyDescent="0.35">
      <c r="A160" s="4" t="s">
        <v>23</v>
      </c>
      <c r="B160">
        <v>27036</v>
      </c>
    </row>
    <row r="161" spans="1:2" x14ac:dyDescent="0.35">
      <c r="A161" s="4" t="s">
        <v>41</v>
      </c>
      <c r="B161">
        <v>27828</v>
      </c>
    </row>
    <row r="162" spans="1:2" x14ac:dyDescent="0.35">
      <c r="A162" s="4" t="s">
        <v>42</v>
      </c>
      <c r="B162">
        <v>145606</v>
      </c>
    </row>
    <row r="163" spans="1:2" x14ac:dyDescent="0.35">
      <c r="A163" s="4" t="s">
        <v>45</v>
      </c>
      <c r="B163">
        <v>156471</v>
      </c>
    </row>
    <row r="164" spans="1:2" x14ac:dyDescent="0.35">
      <c r="A164" s="4" t="s">
        <v>36</v>
      </c>
      <c r="B164">
        <v>165231</v>
      </c>
    </row>
    <row r="165" spans="1:2" x14ac:dyDescent="0.35">
      <c r="A165" s="4" t="s">
        <v>37</v>
      </c>
      <c r="B165">
        <v>167274</v>
      </c>
    </row>
    <row r="166" spans="1:2" x14ac:dyDescent="0.35">
      <c r="A166" s="4" t="s">
        <v>35</v>
      </c>
      <c r="B166">
        <v>170394</v>
      </c>
    </row>
    <row r="167" spans="1:2" x14ac:dyDescent="0.35">
      <c r="A167" s="4" t="s">
        <v>38</v>
      </c>
      <c r="B167">
        <v>204449</v>
      </c>
    </row>
    <row r="168" spans="1:2" x14ac:dyDescent="0.35">
      <c r="A168" s="4" t="s">
        <v>40</v>
      </c>
      <c r="B168">
        <v>272575</v>
      </c>
    </row>
    <row r="169" spans="1:2" x14ac:dyDescent="0.35">
      <c r="A169" s="4" t="s">
        <v>22</v>
      </c>
      <c r="B169">
        <v>489473</v>
      </c>
    </row>
    <row r="170" spans="1:2" x14ac:dyDescent="0.35">
      <c r="A170" s="4" t="s">
        <v>87</v>
      </c>
      <c r="B170">
        <v>1913168</v>
      </c>
    </row>
  </sheetData>
  <mergeCells count="1">
    <mergeCell ref="I3:M3"/>
  </mergeCells>
  <pageMargins left="0.7" right="0.7" top="0.75" bottom="0.75" header="0.3" footer="0.3"/>
  <drawing r:id="rId14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BD05C-E001-4F12-A6F7-A40C2F32E2DA}">
  <dimension ref="A1:E2446"/>
  <sheetViews>
    <sheetView workbookViewId="0">
      <selection activeCell="B2" sqref="B2"/>
    </sheetView>
  </sheetViews>
  <sheetFormatPr defaultRowHeight="14.5" x14ac:dyDescent="0.35"/>
  <cols>
    <col min="1" max="1" width="10.08984375" bestFit="1" customWidth="1"/>
    <col min="2" max="2" width="23.36328125" bestFit="1" customWidth="1"/>
    <col min="3" max="3" width="17.08984375" bestFit="1" customWidth="1"/>
    <col min="4" max="4" width="21.26953125" bestFit="1" customWidth="1"/>
    <col min="5" max="5" width="19.26953125" bestFit="1" customWidth="1"/>
  </cols>
  <sheetData>
    <row r="1" spans="1:5" x14ac:dyDescent="0.35">
      <c r="A1" t="s">
        <v>11</v>
      </c>
      <c r="B1" t="s">
        <v>49</v>
      </c>
      <c r="C1" t="s">
        <v>18</v>
      </c>
      <c r="D1" t="s">
        <v>20</v>
      </c>
      <c r="E1" t="s">
        <v>50</v>
      </c>
    </row>
    <row r="2" spans="1:5" x14ac:dyDescent="0.35">
      <c r="A2" s="2">
        <v>44287</v>
      </c>
      <c r="B2" t="s">
        <v>51</v>
      </c>
      <c r="C2" t="s">
        <v>21</v>
      </c>
      <c r="D2">
        <v>0</v>
      </c>
      <c r="E2">
        <v>398</v>
      </c>
    </row>
    <row r="3" spans="1:5" x14ac:dyDescent="0.35">
      <c r="A3" s="2">
        <v>44287</v>
      </c>
      <c r="B3" t="s">
        <v>51</v>
      </c>
      <c r="C3" t="s">
        <v>24</v>
      </c>
      <c r="D3">
        <v>0</v>
      </c>
      <c r="E3">
        <v>361</v>
      </c>
    </row>
    <row r="4" spans="1:5" x14ac:dyDescent="0.35">
      <c r="A4" s="2">
        <v>44317</v>
      </c>
      <c r="B4" t="s">
        <v>51</v>
      </c>
      <c r="C4" t="s">
        <v>21</v>
      </c>
      <c r="D4">
        <v>0</v>
      </c>
      <c r="E4">
        <v>113</v>
      </c>
    </row>
    <row r="5" spans="1:5" x14ac:dyDescent="0.35">
      <c r="A5" s="2">
        <v>44317</v>
      </c>
      <c r="B5" t="s">
        <v>51</v>
      </c>
      <c r="C5" t="s">
        <v>24</v>
      </c>
      <c r="D5">
        <v>0</v>
      </c>
      <c r="E5">
        <v>98</v>
      </c>
    </row>
    <row r="6" spans="1:5" x14ac:dyDescent="0.35">
      <c r="A6" s="2">
        <v>44348</v>
      </c>
      <c r="B6" t="s">
        <v>51</v>
      </c>
      <c r="C6" t="s">
        <v>21</v>
      </c>
      <c r="D6">
        <v>0</v>
      </c>
      <c r="E6">
        <v>229</v>
      </c>
    </row>
    <row r="7" spans="1:5" x14ac:dyDescent="0.35">
      <c r="A7" s="2">
        <v>44348</v>
      </c>
      <c r="B7" t="s">
        <v>51</v>
      </c>
      <c r="C7" t="s">
        <v>24</v>
      </c>
      <c r="D7">
        <v>0</v>
      </c>
      <c r="E7">
        <v>244</v>
      </c>
    </row>
    <row r="8" spans="1:5" x14ac:dyDescent="0.35">
      <c r="A8" s="2">
        <v>44378</v>
      </c>
      <c r="B8" t="s">
        <v>51</v>
      </c>
      <c r="C8" t="s">
        <v>21</v>
      </c>
      <c r="D8">
        <v>0</v>
      </c>
      <c r="E8">
        <v>458</v>
      </c>
    </row>
    <row r="9" spans="1:5" x14ac:dyDescent="0.35">
      <c r="A9" s="2">
        <v>44378</v>
      </c>
      <c r="B9" t="s">
        <v>51</v>
      </c>
      <c r="C9" t="s">
        <v>24</v>
      </c>
      <c r="D9">
        <v>0</v>
      </c>
      <c r="E9">
        <v>452</v>
      </c>
    </row>
    <row r="10" spans="1:5" x14ac:dyDescent="0.35">
      <c r="A10" s="2">
        <v>44409</v>
      </c>
      <c r="B10" t="s">
        <v>51</v>
      </c>
      <c r="C10" t="s">
        <v>21</v>
      </c>
      <c r="D10">
        <v>0</v>
      </c>
      <c r="E10">
        <v>489</v>
      </c>
    </row>
    <row r="11" spans="1:5" x14ac:dyDescent="0.35">
      <c r="A11" s="2">
        <v>44409</v>
      </c>
      <c r="B11" t="s">
        <v>51</v>
      </c>
      <c r="C11" t="s">
        <v>24</v>
      </c>
      <c r="D11">
        <v>0</v>
      </c>
      <c r="E11">
        <v>408</v>
      </c>
    </row>
    <row r="12" spans="1:5" x14ac:dyDescent="0.35">
      <c r="A12" s="2">
        <v>44440</v>
      </c>
      <c r="B12" t="s">
        <v>51</v>
      </c>
      <c r="C12" t="s">
        <v>21</v>
      </c>
      <c r="D12">
        <v>0</v>
      </c>
      <c r="E12">
        <v>540</v>
      </c>
    </row>
    <row r="13" spans="1:5" x14ac:dyDescent="0.35">
      <c r="A13" s="2">
        <v>44440</v>
      </c>
      <c r="B13" t="s">
        <v>51</v>
      </c>
      <c r="C13" t="s">
        <v>24</v>
      </c>
      <c r="D13">
        <v>0</v>
      </c>
      <c r="E13">
        <v>355</v>
      </c>
    </row>
    <row r="14" spans="1:5" x14ac:dyDescent="0.35">
      <c r="A14" s="2">
        <v>44470</v>
      </c>
      <c r="B14" t="s">
        <v>51</v>
      </c>
      <c r="C14" t="s">
        <v>21</v>
      </c>
      <c r="D14">
        <v>0</v>
      </c>
      <c r="E14">
        <v>455</v>
      </c>
    </row>
    <row r="15" spans="1:5" x14ac:dyDescent="0.35">
      <c r="A15" s="2">
        <v>44470</v>
      </c>
      <c r="B15" t="s">
        <v>51</v>
      </c>
      <c r="C15" t="s">
        <v>24</v>
      </c>
      <c r="D15">
        <v>0</v>
      </c>
      <c r="E15">
        <v>345</v>
      </c>
    </row>
    <row r="16" spans="1:5" x14ac:dyDescent="0.35">
      <c r="A16" s="2">
        <v>44501</v>
      </c>
      <c r="B16" t="s">
        <v>51</v>
      </c>
      <c r="C16" t="s">
        <v>21</v>
      </c>
      <c r="D16">
        <v>0</v>
      </c>
      <c r="E16">
        <v>478</v>
      </c>
    </row>
    <row r="17" spans="1:5" x14ac:dyDescent="0.35">
      <c r="A17" s="2">
        <v>44501</v>
      </c>
      <c r="B17" t="s">
        <v>51</v>
      </c>
      <c r="C17" t="s">
        <v>24</v>
      </c>
      <c r="D17">
        <v>0</v>
      </c>
      <c r="E17">
        <v>351</v>
      </c>
    </row>
    <row r="18" spans="1:5" x14ac:dyDescent="0.35">
      <c r="A18" s="2">
        <v>44531</v>
      </c>
      <c r="B18" t="s">
        <v>51</v>
      </c>
      <c r="C18" t="s">
        <v>21</v>
      </c>
      <c r="D18">
        <v>0</v>
      </c>
      <c r="E18">
        <v>454</v>
      </c>
    </row>
    <row r="19" spans="1:5" x14ac:dyDescent="0.35">
      <c r="A19" s="2">
        <v>44531</v>
      </c>
      <c r="B19" t="s">
        <v>51</v>
      </c>
      <c r="C19" t="s">
        <v>24</v>
      </c>
      <c r="D19">
        <v>0</v>
      </c>
      <c r="E19">
        <v>394</v>
      </c>
    </row>
    <row r="20" spans="1:5" x14ac:dyDescent="0.35">
      <c r="A20" s="2">
        <v>44562</v>
      </c>
      <c r="B20" t="s">
        <v>51</v>
      </c>
      <c r="C20" t="s">
        <v>21</v>
      </c>
      <c r="D20">
        <v>0</v>
      </c>
      <c r="E20">
        <v>400</v>
      </c>
    </row>
    <row r="21" spans="1:5" x14ac:dyDescent="0.35">
      <c r="A21" s="2">
        <v>44562</v>
      </c>
      <c r="B21" t="s">
        <v>51</v>
      </c>
      <c r="C21" t="s">
        <v>24</v>
      </c>
      <c r="D21">
        <v>0</v>
      </c>
      <c r="E21">
        <v>270</v>
      </c>
    </row>
    <row r="22" spans="1:5" x14ac:dyDescent="0.35">
      <c r="A22" s="2">
        <v>44593</v>
      </c>
      <c r="B22" t="s">
        <v>51</v>
      </c>
      <c r="C22" t="s">
        <v>21</v>
      </c>
      <c r="D22">
        <v>0</v>
      </c>
      <c r="E22">
        <v>384</v>
      </c>
    </row>
    <row r="23" spans="1:5" x14ac:dyDescent="0.35">
      <c r="A23" s="2">
        <v>44593</v>
      </c>
      <c r="B23" t="s">
        <v>51</v>
      </c>
      <c r="C23" t="s">
        <v>24</v>
      </c>
      <c r="D23">
        <v>0</v>
      </c>
      <c r="E23">
        <v>371</v>
      </c>
    </row>
    <row r="24" spans="1:5" x14ac:dyDescent="0.35">
      <c r="A24" s="2">
        <v>44621</v>
      </c>
      <c r="B24" t="s">
        <v>51</v>
      </c>
      <c r="C24" t="s">
        <v>21</v>
      </c>
      <c r="D24">
        <v>0</v>
      </c>
      <c r="E24">
        <v>460</v>
      </c>
    </row>
    <row r="25" spans="1:5" x14ac:dyDescent="0.35">
      <c r="A25" s="2">
        <v>44621</v>
      </c>
      <c r="B25" t="s">
        <v>51</v>
      </c>
      <c r="C25" t="s">
        <v>24</v>
      </c>
      <c r="D25">
        <v>0</v>
      </c>
      <c r="E25">
        <v>390</v>
      </c>
    </row>
    <row r="26" spans="1:5" x14ac:dyDescent="0.35">
      <c r="A26" s="2">
        <v>44652</v>
      </c>
      <c r="B26" t="s">
        <v>51</v>
      </c>
      <c r="C26" t="s">
        <v>21</v>
      </c>
      <c r="D26">
        <v>0</v>
      </c>
      <c r="E26">
        <v>455</v>
      </c>
    </row>
    <row r="27" spans="1:5" x14ac:dyDescent="0.35">
      <c r="A27" s="2">
        <v>44652</v>
      </c>
      <c r="B27" t="s">
        <v>51</v>
      </c>
      <c r="C27" t="s">
        <v>24</v>
      </c>
      <c r="D27">
        <v>0</v>
      </c>
      <c r="E27">
        <v>380</v>
      </c>
    </row>
    <row r="28" spans="1:5" x14ac:dyDescent="0.35">
      <c r="A28" s="2">
        <v>44682</v>
      </c>
      <c r="B28" t="s">
        <v>51</v>
      </c>
      <c r="C28" t="s">
        <v>21</v>
      </c>
      <c r="D28">
        <v>0</v>
      </c>
      <c r="E28">
        <v>461</v>
      </c>
    </row>
    <row r="29" spans="1:5" x14ac:dyDescent="0.35">
      <c r="A29" s="2">
        <v>44682</v>
      </c>
      <c r="B29" t="s">
        <v>51</v>
      </c>
      <c r="C29" t="s">
        <v>24</v>
      </c>
      <c r="D29">
        <v>0</v>
      </c>
      <c r="E29">
        <v>421</v>
      </c>
    </row>
    <row r="30" spans="1:5" x14ac:dyDescent="0.35">
      <c r="A30" s="2">
        <v>44713</v>
      </c>
      <c r="B30" t="s">
        <v>51</v>
      </c>
      <c r="C30" t="s">
        <v>21</v>
      </c>
      <c r="D30">
        <v>0</v>
      </c>
      <c r="E30">
        <v>429</v>
      </c>
    </row>
    <row r="31" spans="1:5" x14ac:dyDescent="0.35">
      <c r="A31" s="2">
        <v>44713</v>
      </c>
      <c r="B31" t="s">
        <v>51</v>
      </c>
      <c r="C31" t="s">
        <v>24</v>
      </c>
      <c r="D31">
        <v>0</v>
      </c>
      <c r="E31">
        <v>446</v>
      </c>
    </row>
    <row r="32" spans="1:5" x14ac:dyDescent="0.35">
      <c r="A32" s="2">
        <v>44743</v>
      </c>
      <c r="B32" t="s">
        <v>51</v>
      </c>
      <c r="C32" t="s">
        <v>21</v>
      </c>
      <c r="D32">
        <v>0</v>
      </c>
      <c r="E32">
        <v>409</v>
      </c>
    </row>
    <row r="33" spans="1:5" x14ac:dyDescent="0.35">
      <c r="A33" s="2">
        <v>44743</v>
      </c>
      <c r="B33" t="s">
        <v>51</v>
      </c>
      <c r="C33" t="s">
        <v>24</v>
      </c>
      <c r="D33">
        <v>0</v>
      </c>
      <c r="E33">
        <v>439</v>
      </c>
    </row>
    <row r="34" spans="1:5" x14ac:dyDescent="0.35">
      <c r="A34" s="2">
        <v>44774</v>
      </c>
      <c r="B34" t="s">
        <v>51</v>
      </c>
      <c r="C34" t="s">
        <v>21</v>
      </c>
      <c r="D34">
        <v>0</v>
      </c>
      <c r="E34">
        <v>394</v>
      </c>
    </row>
    <row r="35" spans="1:5" x14ac:dyDescent="0.35">
      <c r="A35" s="2">
        <v>44774</v>
      </c>
      <c r="B35" t="s">
        <v>51</v>
      </c>
      <c r="C35" t="s">
        <v>24</v>
      </c>
      <c r="D35">
        <v>0</v>
      </c>
      <c r="E35">
        <v>421</v>
      </c>
    </row>
    <row r="36" spans="1:5" x14ac:dyDescent="0.35">
      <c r="A36" s="2">
        <v>44805</v>
      </c>
      <c r="B36" t="s">
        <v>51</v>
      </c>
      <c r="C36" t="s">
        <v>21</v>
      </c>
      <c r="D36">
        <v>0</v>
      </c>
      <c r="E36">
        <v>443</v>
      </c>
    </row>
    <row r="37" spans="1:5" x14ac:dyDescent="0.35">
      <c r="A37" s="2">
        <v>44805</v>
      </c>
      <c r="B37" t="s">
        <v>51</v>
      </c>
      <c r="C37" t="s">
        <v>24</v>
      </c>
      <c r="D37">
        <v>0</v>
      </c>
      <c r="E37">
        <v>581</v>
      </c>
    </row>
    <row r="38" spans="1:5" x14ac:dyDescent="0.35">
      <c r="A38" s="2">
        <v>44835</v>
      </c>
      <c r="B38" t="s">
        <v>51</v>
      </c>
      <c r="C38" t="s">
        <v>21</v>
      </c>
      <c r="D38">
        <v>0</v>
      </c>
      <c r="E38">
        <v>371</v>
      </c>
    </row>
    <row r="39" spans="1:5" x14ac:dyDescent="0.35">
      <c r="A39" s="2">
        <v>44835</v>
      </c>
      <c r="B39" t="s">
        <v>51</v>
      </c>
      <c r="C39" t="s">
        <v>24</v>
      </c>
      <c r="D39">
        <v>0</v>
      </c>
      <c r="E39">
        <v>340</v>
      </c>
    </row>
    <row r="40" spans="1:5" x14ac:dyDescent="0.35">
      <c r="A40" s="2">
        <v>44866</v>
      </c>
      <c r="B40" t="s">
        <v>51</v>
      </c>
      <c r="C40" t="s">
        <v>21</v>
      </c>
      <c r="D40">
        <v>0</v>
      </c>
      <c r="E40">
        <v>431</v>
      </c>
    </row>
    <row r="41" spans="1:5" x14ac:dyDescent="0.35">
      <c r="A41" s="2">
        <v>44866</v>
      </c>
      <c r="B41" t="s">
        <v>51</v>
      </c>
      <c r="C41" t="s">
        <v>24</v>
      </c>
      <c r="D41">
        <v>0</v>
      </c>
      <c r="E41">
        <v>411</v>
      </c>
    </row>
    <row r="42" spans="1:5" x14ac:dyDescent="0.35">
      <c r="A42" s="2">
        <v>44896</v>
      </c>
      <c r="B42" t="s">
        <v>51</v>
      </c>
      <c r="C42" t="s">
        <v>21</v>
      </c>
      <c r="D42">
        <v>0</v>
      </c>
      <c r="E42">
        <v>274</v>
      </c>
    </row>
    <row r="43" spans="1:5" x14ac:dyDescent="0.35">
      <c r="A43" s="2">
        <v>44896</v>
      </c>
      <c r="B43" t="s">
        <v>51</v>
      </c>
      <c r="C43" t="s">
        <v>24</v>
      </c>
      <c r="D43">
        <v>0</v>
      </c>
      <c r="E43">
        <v>288</v>
      </c>
    </row>
    <row r="44" spans="1:5" x14ac:dyDescent="0.35">
      <c r="A44" s="2">
        <v>44927</v>
      </c>
      <c r="B44" t="s">
        <v>51</v>
      </c>
      <c r="C44" t="s">
        <v>21</v>
      </c>
      <c r="D44">
        <v>0</v>
      </c>
      <c r="E44">
        <v>470</v>
      </c>
    </row>
    <row r="45" spans="1:5" x14ac:dyDescent="0.35">
      <c r="A45" s="2">
        <v>44927</v>
      </c>
      <c r="B45" t="s">
        <v>51</v>
      </c>
      <c r="C45" t="s">
        <v>24</v>
      </c>
      <c r="D45">
        <v>0</v>
      </c>
      <c r="E45">
        <v>420</v>
      </c>
    </row>
    <row r="46" spans="1:5" x14ac:dyDescent="0.35">
      <c r="A46" s="2">
        <v>44958</v>
      </c>
      <c r="B46" t="s">
        <v>51</v>
      </c>
      <c r="C46" t="s">
        <v>21</v>
      </c>
      <c r="D46">
        <v>0</v>
      </c>
      <c r="E46">
        <v>324</v>
      </c>
    </row>
    <row r="47" spans="1:5" x14ac:dyDescent="0.35">
      <c r="A47" s="2">
        <v>44958</v>
      </c>
      <c r="B47" t="s">
        <v>51</v>
      </c>
      <c r="C47" t="s">
        <v>24</v>
      </c>
      <c r="D47">
        <v>0</v>
      </c>
      <c r="E47">
        <v>364</v>
      </c>
    </row>
    <row r="48" spans="1:5" x14ac:dyDescent="0.35">
      <c r="A48" s="2">
        <v>44986</v>
      </c>
      <c r="B48" t="s">
        <v>51</v>
      </c>
      <c r="C48" t="s">
        <v>21</v>
      </c>
      <c r="D48">
        <v>0</v>
      </c>
      <c r="E48">
        <v>454</v>
      </c>
    </row>
    <row r="49" spans="1:5" x14ac:dyDescent="0.35">
      <c r="A49" s="2">
        <v>44986</v>
      </c>
      <c r="B49" t="s">
        <v>51</v>
      </c>
      <c r="C49" t="s">
        <v>24</v>
      </c>
      <c r="D49">
        <v>0</v>
      </c>
      <c r="E49">
        <v>505</v>
      </c>
    </row>
    <row r="50" spans="1:5" x14ac:dyDescent="0.35">
      <c r="A50" s="2">
        <v>45017</v>
      </c>
      <c r="B50" t="s">
        <v>51</v>
      </c>
      <c r="C50" t="s">
        <v>21</v>
      </c>
      <c r="D50">
        <v>0</v>
      </c>
      <c r="E50">
        <v>465</v>
      </c>
    </row>
    <row r="51" spans="1:5" x14ac:dyDescent="0.35">
      <c r="A51" s="2">
        <v>45017</v>
      </c>
      <c r="B51" t="s">
        <v>51</v>
      </c>
      <c r="C51" t="s">
        <v>24</v>
      </c>
      <c r="D51">
        <v>0</v>
      </c>
      <c r="E51">
        <v>439</v>
      </c>
    </row>
    <row r="52" spans="1:5" x14ac:dyDescent="0.35">
      <c r="A52" s="2">
        <v>45047</v>
      </c>
      <c r="B52" t="s">
        <v>51</v>
      </c>
      <c r="C52" t="s">
        <v>21</v>
      </c>
      <c r="D52">
        <v>0</v>
      </c>
      <c r="E52">
        <v>507</v>
      </c>
    </row>
    <row r="53" spans="1:5" x14ac:dyDescent="0.35">
      <c r="A53" s="2">
        <v>45047</v>
      </c>
      <c r="B53" t="s">
        <v>51</v>
      </c>
      <c r="C53" t="s">
        <v>24</v>
      </c>
      <c r="D53">
        <v>0</v>
      </c>
      <c r="E53">
        <v>448</v>
      </c>
    </row>
    <row r="54" spans="1:5" x14ac:dyDescent="0.35">
      <c r="A54" s="2">
        <v>45078</v>
      </c>
      <c r="B54" t="s">
        <v>51</v>
      </c>
      <c r="C54" t="s">
        <v>21</v>
      </c>
      <c r="D54">
        <v>0</v>
      </c>
      <c r="E54">
        <v>517</v>
      </c>
    </row>
    <row r="55" spans="1:5" x14ac:dyDescent="0.35">
      <c r="A55" s="2">
        <v>45078</v>
      </c>
      <c r="B55" t="s">
        <v>51</v>
      </c>
      <c r="C55" t="s">
        <v>24</v>
      </c>
      <c r="D55">
        <v>0</v>
      </c>
      <c r="E55">
        <v>457</v>
      </c>
    </row>
    <row r="56" spans="1:5" x14ac:dyDescent="0.35">
      <c r="A56" s="2">
        <v>45108</v>
      </c>
      <c r="B56" t="s">
        <v>51</v>
      </c>
      <c r="C56" t="s">
        <v>21</v>
      </c>
      <c r="D56">
        <v>0</v>
      </c>
      <c r="E56">
        <v>423</v>
      </c>
    </row>
    <row r="57" spans="1:5" x14ac:dyDescent="0.35">
      <c r="A57" s="2">
        <v>45108</v>
      </c>
      <c r="B57" t="s">
        <v>51</v>
      </c>
      <c r="C57" t="s">
        <v>24</v>
      </c>
      <c r="D57">
        <v>0</v>
      </c>
      <c r="E57">
        <v>371</v>
      </c>
    </row>
    <row r="58" spans="1:5" x14ac:dyDescent="0.35">
      <c r="A58" s="2">
        <v>45139</v>
      </c>
      <c r="B58" t="s">
        <v>51</v>
      </c>
      <c r="C58" t="s">
        <v>21</v>
      </c>
      <c r="D58">
        <v>0</v>
      </c>
      <c r="E58">
        <v>465</v>
      </c>
    </row>
    <row r="59" spans="1:5" x14ac:dyDescent="0.35">
      <c r="A59" s="2">
        <v>45139</v>
      </c>
      <c r="B59" t="s">
        <v>51</v>
      </c>
      <c r="C59" t="s">
        <v>24</v>
      </c>
      <c r="D59">
        <v>0</v>
      </c>
      <c r="E59">
        <v>460</v>
      </c>
    </row>
    <row r="60" spans="1:5" x14ac:dyDescent="0.35">
      <c r="A60" s="2">
        <v>45170</v>
      </c>
      <c r="B60" t="s">
        <v>51</v>
      </c>
      <c r="C60" t="s">
        <v>21</v>
      </c>
      <c r="D60">
        <v>0</v>
      </c>
      <c r="E60">
        <v>546</v>
      </c>
    </row>
    <row r="61" spans="1:5" x14ac:dyDescent="0.35">
      <c r="A61" s="2">
        <v>45170</v>
      </c>
      <c r="B61" t="s">
        <v>51</v>
      </c>
      <c r="C61" t="s">
        <v>24</v>
      </c>
      <c r="D61">
        <v>0</v>
      </c>
      <c r="E61">
        <v>509</v>
      </c>
    </row>
    <row r="62" spans="1:5" x14ac:dyDescent="0.35">
      <c r="A62" s="2">
        <v>45200</v>
      </c>
      <c r="B62" t="s">
        <v>51</v>
      </c>
      <c r="C62" t="s">
        <v>21</v>
      </c>
      <c r="D62">
        <v>0</v>
      </c>
      <c r="E62">
        <v>398</v>
      </c>
    </row>
    <row r="63" spans="1:5" x14ac:dyDescent="0.35">
      <c r="A63" s="2">
        <v>45200</v>
      </c>
      <c r="B63" t="s">
        <v>51</v>
      </c>
      <c r="C63" t="s">
        <v>24</v>
      </c>
      <c r="D63">
        <v>0</v>
      </c>
      <c r="E63">
        <v>389</v>
      </c>
    </row>
    <row r="64" spans="1:5" x14ac:dyDescent="0.35">
      <c r="A64" s="2">
        <v>45231</v>
      </c>
      <c r="B64" t="s">
        <v>51</v>
      </c>
      <c r="C64" t="s">
        <v>21</v>
      </c>
      <c r="D64">
        <v>0</v>
      </c>
      <c r="E64">
        <v>470</v>
      </c>
    </row>
    <row r="65" spans="1:5" x14ac:dyDescent="0.35">
      <c r="A65" s="2">
        <v>45231</v>
      </c>
      <c r="B65" t="s">
        <v>51</v>
      </c>
      <c r="C65" t="s">
        <v>24</v>
      </c>
      <c r="D65">
        <v>0</v>
      </c>
      <c r="E65">
        <v>403</v>
      </c>
    </row>
    <row r="66" spans="1:5" x14ac:dyDescent="0.35">
      <c r="A66" s="2">
        <v>45261</v>
      </c>
      <c r="B66" t="s">
        <v>51</v>
      </c>
      <c r="C66" t="s">
        <v>21</v>
      </c>
      <c r="D66">
        <v>0</v>
      </c>
      <c r="E66">
        <v>365</v>
      </c>
    </row>
    <row r="67" spans="1:5" x14ac:dyDescent="0.35">
      <c r="A67" s="2">
        <v>45261</v>
      </c>
      <c r="B67" t="s">
        <v>51</v>
      </c>
      <c r="C67" t="s">
        <v>24</v>
      </c>
      <c r="D67">
        <v>0</v>
      </c>
      <c r="E67">
        <v>318</v>
      </c>
    </row>
    <row r="68" spans="1:5" x14ac:dyDescent="0.35">
      <c r="A68" s="2">
        <v>45292</v>
      </c>
      <c r="B68" t="s">
        <v>51</v>
      </c>
      <c r="C68" t="s">
        <v>21</v>
      </c>
      <c r="D68">
        <v>0</v>
      </c>
      <c r="E68">
        <v>509</v>
      </c>
    </row>
    <row r="69" spans="1:5" x14ac:dyDescent="0.35">
      <c r="A69" s="2">
        <v>45292</v>
      </c>
      <c r="B69" t="s">
        <v>51</v>
      </c>
      <c r="C69" t="s">
        <v>24</v>
      </c>
      <c r="D69">
        <v>0</v>
      </c>
      <c r="E69">
        <v>422</v>
      </c>
    </row>
    <row r="70" spans="1:5" x14ac:dyDescent="0.35">
      <c r="A70" s="2">
        <v>45323</v>
      </c>
      <c r="B70" t="s">
        <v>51</v>
      </c>
      <c r="C70" t="s">
        <v>21</v>
      </c>
      <c r="D70">
        <v>0</v>
      </c>
      <c r="E70">
        <v>408</v>
      </c>
    </row>
    <row r="71" spans="1:5" x14ac:dyDescent="0.35">
      <c r="A71" s="2">
        <v>45323</v>
      </c>
      <c r="B71" t="s">
        <v>51</v>
      </c>
      <c r="C71" t="s">
        <v>24</v>
      </c>
      <c r="D71">
        <v>0</v>
      </c>
      <c r="E71">
        <v>375</v>
      </c>
    </row>
    <row r="72" spans="1:5" x14ac:dyDescent="0.35">
      <c r="A72" s="2">
        <v>45352</v>
      </c>
      <c r="B72" t="s">
        <v>51</v>
      </c>
      <c r="C72" t="s">
        <v>21</v>
      </c>
      <c r="D72">
        <v>0</v>
      </c>
      <c r="E72">
        <v>399</v>
      </c>
    </row>
    <row r="73" spans="1:5" x14ac:dyDescent="0.35">
      <c r="A73" s="2">
        <v>45352</v>
      </c>
      <c r="B73" t="s">
        <v>51</v>
      </c>
      <c r="C73" t="s">
        <v>24</v>
      </c>
      <c r="D73">
        <v>0</v>
      </c>
      <c r="E73">
        <v>455</v>
      </c>
    </row>
    <row r="74" spans="1:5" x14ac:dyDescent="0.35">
      <c r="A74" s="2">
        <v>44287</v>
      </c>
      <c r="B74" t="s">
        <v>52</v>
      </c>
      <c r="C74" t="s">
        <v>21</v>
      </c>
      <c r="D74">
        <v>0</v>
      </c>
      <c r="E74">
        <v>515</v>
      </c>
    </row>
    <row r="75" spans="1:5" x14ac:dyDescent="0.35">
      <c r="A75" s="2">
        <v>44287</v>
      </c>
      <c r="B75" t="s">
        <v>53</v>
      </c>
      <c r="C75" t="s">
        <v>21</v>
      </c>
      <c r="D75">
        <v>0</v>
      </c>
      <c r="E75">
        <v>1256</v>
      </c>
    </row>
    <row r="76" spans="1:5" x14ac:dyDescent="0.35">
      <c r="A76" s="2">
        <v>44287</v>
      </c>
      <c r="B76" t="s">
        <v>53</v>
      </c>
      <c r="C76" t="s">
        <v>24</v>
      </c>
      <c r="D76">
        <v>0</v>
      </c>
      <c r="E76">
        <v>724</v>
      </c>
    </row>
    <row r="77" spans="1:5" x14ac:dyDescent="0.35">
      <c r="A77" s="2">
        <v>44287</v>
      </c>
      <c r="B77" t="s">
        <v>54</v>
      </c>
      <c r="C77" t="s">
        <v>24</v>
      </c>
      <c r="D77">
        <v>0</v>
      </c>
      <c r="E77">
        <v>6576</v>
      </c>
    </row>
    <row r="78" spans="1:5" x14ac:dyDescent="0.35">
      <c r="A78" s="2">
        <v>44287</v>
      </c>
      <c r="B78" t="s">
        <v>55</v>
      </c>
      <c r="C78" t="s">
        <v>24</v>
      </c>
      <c r="D78">
        <v>0</v>
      </c>
      <c r="E78">
        <v>1563</v>
      </c>
    </row>
    <row r="79" spans="1:5" x14ac:dyDescent="0.35">
      <c r="A79" s="2">
        <v>44287</v>
      </c>
      <c r="B79" t="s">
        <v>56</v>
      </c>
      <c r="C79" t="s">
        <v>24</v>
      </c>
      <c r="D79">
        <v>0</v>
      </c>
      <c r="E79">
        <v>278</v>
      </c>
    </row>
    <row r="80" spans="1:5" x14ac:dyDescent="0.35">
      <c r="A80" s="2">
        <v>44287</v>
      </c>
      <c r="B80" t="s">
        <v>57</v>
      </c>
      <c r="C80" t="s">
        <v>24</v>
      </c>
      <c r="D80">
        <v>0</v>
      </c>
      <c r="E80">
        <v>5107</v>
      </c>
    </row>
    <row r="81" spans="1:5" x14ac:dyDescent="0.35">
      <c r="A81" s="2">
        <v>44287</v>
      </c>
      <c r="B81" t="s">
        <v>58</v>
      </c>
      <c r="C81" t="s">
        <v>21</v>
      </c>
      <c r="D81">
        <v>0</v>
      </c>
      <c r="E81">
        <v>2</v>
      </c>
    </row>
    <row r="82" spans="1:5" x14ac:dyDescent="0.35">
      <c r="A82" s="2">
        <v>44287</v>
      </c>
      <c r="B82" t="s">
        <v>58</v>
      </c>
      <c r="C82" t="s">
        <v>24</v>
      </c>
      <c r="D82">
        <v>0</v>
      </c>
      <c r="E82">
        <v>20</v>
      </c>
    </row>
    <row r="83" spans="1:5" x14ac:dyDescent="0.35">
      <c r="A83" s="2">
        <v>44287</v>
      </c>
      <c r="B83" t="s">
        <v>59</v>
      </c>
      <c r="C83" t="s">
        <v>24</v>
      </c>
      <c r="D83">
        <v>0</v>
      </c>
      <c r="E83">
        <v>808</v>
      </c>
    </row>
    <row r="84" spans="1:5" x14ac:dyDescent="0.35">
      <c r="A84" s="2">
        <v>44287</v>
      </c>
      <c r="B84" t="s">
        <v>60</v>
      </c>
      <c r="C84" t="s">
        <v>21</v>
      </c>
      <c r="D84">
        <v>0</v>
      </c>
      <c r="E84">
        <v>1189</v>
      </c>
    </row>
    <row r="85" spans="1:5" x14ac:dyDescent="0.35">
      <c r="A85" s="2">
        <v>44287</v>
      </c>
      <c r="B85" t="s">
        <v>61</v>
      </c>
      <c r="C85" t="s">
        <v>21</v>
      </c>
      <c r="D85">
        <v>0</v>
      </c>
      <c r="E85">
        <v>1507</v>
      </c>
    </row>
    <row r="86" spans="1:5" x14ac:dyDescent="0.35">
      <c r="A86" s="2">
        <v>44287</v>
      </c>
      <c r="B86" t="s">
        <v>61</v>
      </c>
      <c r="C86" t="s">
        <v>24</v>
      </c>
      <c r="D86">
        <v>0</v>
      </c>
      <c r="E86">
        <v>281</v>
      </c>
    </row>
    <row r="87" spans="1:5" x14ac:dyDescent="0.35">
      <c r="A87" s="2">
        <v>44287</v>
      </c>
      <c r="B87" t="s">
        <v>62</v>
      </c>
      <c r="C87" t="s">
        <v>21</v>
      </c>
      <c r="D87">
        <v>0</v>
      </c>
      <c r="E87">
        <v>561</v>
      </c>
    </row>
    <row r="88" spans="1:5" x14ac:dyDescent="0.35">
      <c r="A88" s="2">
        <v>44287</v>
      </c>
      <c r="B88" t="s">
        <v>62</v>
      </c>
      <c r="C88" t="s">
        <v>24</v>
      </c>
      <c r="D88">
        <v>0</v>
      </c>
      <c r="E88">
        <v>747</v>
      </c>
    </row>
    <row r="89" spans="1:5" x14ac:dyDescent="0.35">
      <c r="A89" s="2">
        <v>44287</v>
      </c>
      <c r="B89" t="s">
        <v>63</v>
      </c>
      <c r="C89" t="s">
        <v>24</v>
      </c>
      <c r="D89">
        <v>0</v>
      </c>
      <c r="E89">
        <v>655</v>
      </c>
    </row>
    <row r="90" spans="1:5" x14ac:dyDescent="0.35">
      <c r="A90" s="2">
        <v>44287</v>
      </c>
      <c r="B90" t="s">
        <v>64</v>
      </c>
      <c r="C90" t="s">
        <v>21</v>
      </c>
      <c r="D90">
        <v>0</v>
      </c>
      <c r="E90">
        <v>2906</v>
      </c>
    </row>
    <row r="91" spans="1:5" x14ac:dyDescent="0.35">
      <c r="A91" s="2">
        <v>44287</v>
      </c>
      <c r="B91" t="s">
        <v>64</v>
      </c>
      <c r="C91" t="s">
        <v>24</v>
      </c>
      <c r="D91">
        <v>0</v>
      </c>
      <c r="E91">
        <v>289</v>
      </c>
    </row>
    <row r="92" spans="1:5" x14ac:dyDescent="0.35">
      <c r="A92" s="2">
        <v>44317</v>
      </c>
      <c r="B92" t="s">
        <v>52</v>
      </c>
      <c r="C92" t="s">
        <v>21</v>
      </c>
      <c r="D92">
        <v>0</v>
      </c>
      <c r="E92">
        <v>4</v>
      </c>
    </row>
    <row r="93" spans="1:5" x14ac:dyDescent="0.35">
      <c r="A93" s="2">
        <v>44317</v>
      </c>
      <c r="B93" t="s">
        <v>52</v>
      </c>
      <c r="C93" t="s">
        <v>24</v>
      </c>
      <c r="D93">
        <v>0</v>
      </c>
      <c r="E93">
        <v>1</v>
      </c>
    </row>
    <row r="94" spans="1:5" x14ac:dyDescent="0.35">
      <c r="A94" s="2">
        <v>44317</v>
      </c>
      <c r="B94" t="s">
        <v>53</v>
      </c>
      <c r="C94" t="s">
        <v>21</v>
      </c>
      <c r="D94">
        <v>0</v>
      </c>
      <c r="E94">
        <v>552</v>
      </c>
    </row>
    <row r="95" spans="1:5" x14ac:dyDescent="0.35">
      <c r="A95" s="2">
        <v>44317</v>
      </c>
      <c r="B95" t="s">
        <v>53</v>
      </c>
      <c r="C95" t="s">
        <v>24</v>
      </c>
      <c r="D95">
        <v>0</v>
      </c>
      <c r="E95">
        <v>302</v>
      </c>
    </row>
    <row r="96" spans="1:5" x14ac:dyDescent="0.35">
      <c r="A96" s="2">
        <v>44317</v>
      </c>
      <c r="B96" t="s">
        <v>54</v>
      </c>
      <c r="C96" t="s">
        <v>21</v>
      </c>
      <c r="D96">
        <v>0</v>
      </c>
      <c r="E96">
        <v>14723</v>
      </c>
    </row>
    <row r="97" spans="1:5" x14ac:dyDescent="0.35">
      <c r="A97" s="2">
        <v>44317</v>
      </c>
      <c r="B97" t="s">
        <v>54</v>
      </c>
      <c r="C97" t="s">
        <v>24</v>
      </c>
      <c r="D97">
        <v>0</v>
      </c>
      <c r="E97">
        <v>3295</v>
      </c>
    </row>
    <row r="98" spans="1:5" x14ac:dyDescent="0.35">
      <c r="A98" s="2">
        <v>44317</v>
      </c>
      <c r="B98" t="s">
        <v>65</v>
      </c>
      <c r="C98" t="s">
        <v>24</v>
      </c>
      <c r="D98">
        <v>0</v>
      </c>
      <c r="E98">
        <v>2249</v>
      </c>
    </row>
    <row r="99" spans="1:5" x14ac:dyDescent="0.35">
      <c r="A99" s="2">
        <v>44317</v>
      </c>
      <c r="B99" t="s">
        <v>66</v>
      </c>
      <c r="C99" t="s">
        <v>21</v>
      </c>
      <c r="D99">
        <v>0</v>
      </c>
      <c r="E99">
        <v>411</v>
      </c>
    </row>
    <row r="100" spans="1:5" x14ac:dyDescent="0.35">
      <c r="A100" s="2">
        <v>44317</v>
      </c>
      <c r="B100" t="s">
        <v>55</v>
      </c>
      <c r="C100" t="s">
        <v>24</v>
      </c>
      <c r="D100">
        <v>0</v>
      </c>
      <c r="E100">
        <v>1387</v>
      </c>
    </row>
    <row r="101" spans="1:5" x14ac:dyDescent="0.35">
      <c r="A101" s="2">
        <v>44317</v>
      </c>
      <c r="B101" t="s">
        <v>56</v>
      </c>
      <c r="C101" t="s">
        <v>21</v>
      </c>
      <c r="D101">
        <v>0</v>
      </c>
      <c r="E101">
        <v>452</v>
      </c>
    </row>
    <row r="102" spans="1:5" x14ac:dyDescent="0.35">
      <c r="A102" s="2">
        <v>44317</v>
      </c>
      <c r="B102" t="s">
        <v>56</v>
      </c>
      <c r="C102" t="s">
        <v>24</v>
      </c>
      <c r="D102">
        <v>0</v>
      </c>
      <c r="E102">
        <v>202</v>
      </c>
    </row>
    <row r="103" spans="1:5" x14ac:dyDescent="0.35">
      <c r="A103" s="2">
        <v>44317</v>
      </c>
      <c r="B103" t="s">
        <v>67</v>
      </c>
      <c r="C103" t="s">
        <v>21</v>
      </c>
      <c r="D103">
        <v>0</v>
      </c>
      <c r="E103">
        <v>22</v>
      </c>
    </row>
    <row r="104" spans="1:5" x14ac:dyDescent="0.35">
      <c r="A104" s="2">
        <v>44317</v>
      </c>
      <c r="B104" t="s">
        <v>67</v>
      </c>
      <c r="C104" t="s">
        <v>24</v>
      </c>
      <c r="D104">
        <v>0</v>
      </c>
      <c r="E104">
        <v>21</v>
      </c>
    </row>
    <row r="105" spans="1:5" x14ac:dyDescent="0.35">
      <c r="A105" s="2">
        <v>44317</v>
      </c>
      <c r="B105" t="s">
        <v>57</v>
      </c>
      <c r="C105" t="s">
        <v>24</v>
      </c>
      <c r="D105">
        <v>0</v>
      </c>
      <c r="E105">
        <v>2372</v>
      </c>
    </row>
    <row r="106" spans="1:5" x14ac:dyDescent="0.35">
      <c r="A106" s="2">
        <v>44317</v>
      </c>
      <c r="B106" t="s">
        <v>58</v>
      </c>
      <c r="C106" t="s">
        <v>21</v>
      </c>
      <c r="D106">
        <v>0</v>
      </c>
      <c r="E106">
        <v>11</v>
      </c>
    </row>
    <row r="107" spans="1:5" x14ac:dyDescent="0.35">
      <c r="A107" s="2">
        <v>44317</v>
      </c>
      <c r="B107" t="s">
        <v>58</v>
      </c>
      <c r="C107" t="s">
        <v>24</v>
      </c>
      <c r="D107">
        <v>0</v>
      </c>
      <c r="E107">
        <v>70</v>
      </c>
    </row>
    <row r="108" spans="1:5" x14ac:dyDescent="0.35">
      <c r="A108" s="2">
        <v>44317</v>
      </c>
      <c r="B108" t="s">
        <v>68</v>
      </c>
      <c r="C108" t="s">
        <v>24</v>
      </c>
      <c r="D108">
        <v>0</v>
      </c>
      <c r="E108">
        <v>195</v>
      </c>
    </row>
    <row r="109" spans="1:5" x14ac:dyDescent="0.35">
      <c r="A109" s="2">
        <v>44317</v>
      </c>
      <c r="B109" t="s">
        <v>59</v>
      </c>
      <c r="C109" t="s">
        <v>21</v>
      </c>
      <c r="D109">
        <v>0</v>
      </c>
      <c r="E109">
        <v>288</v>
      </c>
    </row>
    <row r="110" spans="1:5" x14ac:dyDescent="0.35">
      <c r="A110" s="2">
        <v>44317</v>
      </c>
      <c r="B110" t="s">
        <v>59</v>
      </c>
      <c r="C110" t="s">
        <v>24</v>
      </c>
      <c r="D110">
        <v>0</v>
      </c>
      <c r="E110">
        <v>9</v>
      </c>
    </row>
    <row r="111" spans="1:5" x14ac:dyDescent="0.35">
      <c r="A111" s="2">
        <v>44317</v>
      </c>
      <c r="B111" t="s">
        <v>60</v>
      </c>
      <c r="C111" t="s">
        <v>21</v>
      </c>
      <c r="D111">
        <v>0</v>
      </c>
      <c r="E111">
        <v>332</v>
      </c>
    </row>
    <row r="112" spans="1:5" x14ac:dyDescent="0.35">
      <c r="A112" s="2">
        <v>44317</v>
      </c>
      <c r="B112" t="s">
        <v>61</v>
      </c>
      <c r="C112" t="s">
        <v>21</v>
      </c>
      <c r="D112">
        <v>0</v>
      </c>
      <c r="E112">
        <v>15</v>
      </c>
    </row>
    <row r="113" spans="1:5" x14ac:dyDescent="0.35">
      <c r="A113" s="2">
        <v>44317</v>
      </c>
      <c r="B113" t="s">
        <v>61</v>
      </c>
      <c r="C113" t="s">
        <v>24</v>
      </c>
      <c r="D113">
        <v>0</v>
      </c>
      <c r="E113">
        <v>4</v>
      </c>
    </row>
    <row r="114" spans="1:5" x14ac:dyDescent="0.35">
      <c r="A114" s="2">
        <v>44317</v>
      </c>
      <c r="B114" t="s">
        <v>62</v>
      </c>
      <c r="C114" t="s">
        <v>21</v>
      </c>
      <c r="D114">
        <v>0</v>
      </c>
      <c r="E114">
        <v>125</v>
      </c>
    </row>
    <row r="115" spans="1:5" x14ac:dyDescent="0.35">
      <c r="A115" s="2">
        <v>44317</v>
      </c>
      <c r="B115" t="s">
        <v>62</v>
      </c>
      <c r="C115" t="s">
        <v>24</v>
      </c>
      <c r="D115">
        <v>0</v>
      </c>
      <c r="E115">
        <v>126</v>
      </c>
    </row>
    <row r="116" spans="1:5" x14ac:dyDescent="0.35">
      <c r="A116" s="2">
        <v>44317</v>
      </c>
      <c r="B116" t="s">
        <v>69</v>
      </c>
      <c r="C116" t="s">
        <v>24</v>
      </c>
      <c r="D116">
        <v>0</v>
      </c>
      <c r="E116">
        <v>722</v>
      </c>
    </row>
    <row r="117" spans="1:5" x14ac:dyDescent="0.35">
      <c r="A117" s="2">
        <v>44317</v>
      </c>
      <c r="B117" t="s">
        <v>70</v>
      </c>
      <c r="C117" t="s">
        <v>24</v>
      </c>
      <c r="D117">
        <v>0</v>
      </c>
      <c r="E117">
        <v>5202</v>
      </c>
    </row>
    <row r="118" spans="1:5" x14ac:dyDescent="0.35">
      <c r="A118" s="2">
        <v>44317</v>
      </c>
      <c r="B118" t="s">
        <v>64</v>
      </c>
      <c r="C118" t="s">
        <v>21</v>
      </c>
      <c r="D118">
        <v>0</v>
      </c>
      <c r="E118">
        <v>2063</v>
      </c>
    </row>
    <row r="119" spans="1:5" x14ac:dyDescent="0.35">
      <c r="A119" s="2">
        <v>44317</v>
      </c>
      <c r="B119" t="s">
        <v>64</v>
      </c>
      <c r="C119" t="s">
        <v>24</v>
      </c>
      <c r="D119">
        <v>0</v>
      </c>
      <c r="E119">
        <v>192</v>
      </c>
    </row>
    <row r="120" spans="1:5" x14ac:dyDescent="0.35">
      <c r="A120" s="2">
        <v>44317</v>
      </c>
      <c r="B120" t="s">
        <v>71</v>
      </c>
      <c r="C120" t="s">
        <v>24</v>
      </c>
      <c r="D120">
        <v>0</v>
      </c>
      <c r="E120">
        <v>1145</v>
      </c>
    </row>
    <row r="121" spans="1:5" x14ac:dyDescent="0.35">
      <c r="A121" s="2">
        <v>44348</v>
      </c>
      <c r="B121" t="s">
        <v>52</v>
      </c>
      <c r="C121" t="s">
        <v>21</v>
      </c>
      <c r="D121">
        <v>0</v>
      </c>
      <c r="E121">
        <v>2</v>
      </c>
    </row>
    <row r="122" spans="1:5" x14ac:dyDescent="0.35">
      <c r="A122" s="2">
        <v>44348</v>
      </c>
      <c r="B122" t="s">
        <v>53</v>
      </c>
      <c r="C122" t="s">
        <v>21</v>
      </c>
      <c r="D122">
        <v>0</v>
      </c>
      <c r="E122">
        <v>727</v>
      </c>
    </row>
    <row r="123" spans="1:5" x14ac:dyDescent="0.35">
      <c r="A123" s="2">
        <v>44348</v>
      </c>
      <c r="B123" t="s">
        <v>53</v>
      </c>
      <c r="C123" t="s">
        <v>24</v>
      </c>
      <c r="D123">
        <v>0</v>
      </c>
      <c r="E123">
        <v>565</v>
      </c>
    </row>
    <row r="124" spans="1:5" x14ac:dyDescent="0.35">
      <c r="A124" s="2">
        <v>44348</v>
      </c>
      <c r="B124" t="s">
        <v>58</v>
      </c>
      <c r="C124" t="s">
        <v>21</v>
      </c>
      <c r="D124">
        <v>0</v>
      </c>
      <c r="E124">
        <v>3</v>
      </c>
    </row>
    <row r="125" spans="1:5" x14ac:dyDescent="0.35">
      <c r="A125" s="2">
        <v>44348</v>
      </c>
      <c r="B125" t="s">
        <v>58</v>
      </c>
      <c r="C125" t="s">
        <v>24</v>
      </c>
      <c r="D125">
        <v>0</v>
      </c>
      <c r="E125">
        <v>112</v>
      </c>
    </row>
    <row r="126" spans="1:5" x14ac:dyDescent="0.35">
      <c r="A126" s="2">
        <v>44348</v>
      </c>
      <c r="B126" t="s">
        <v>59</v>
      </c>
      <c r="C126" t="s">
        <v>21</v>
      </c>
      <c r="D126">
        <v>0</v>
      </c>
      <c r="E126">
        <v>89</v>
      </c>
    </row>
    <row r="127" spans="1:5" x14ac:dyDescent="0.35">
      <c r="A127" s="2">
        <v>44348</v>
      </c>
      <c r="B127" t="s">
        <v>59</v>
      </c>
      <c r="C127" t="s">
        <v>24</v>
      </c>
      <c r="D127">
        <v>0</v>
      </c>
      <c r="E127">
        <v>18</v>
      </c>
    </row>
    <row r="128" spans="1:5" x14ac:dyDescent="0.35">
      <c r="A128" s="2">
        <v>44348</v>
      </c>
      <c r="B128" t="s">
        <v>60</v>
      </c>
      <c r="C128" t="s">
        <v>21</v>
      </c>
      <c r="D128">
        <v>0</v>
      </c>
      <c r="E128">
        <v>354</v>
      </c>
    </row>
    <row r="129" spans="1:5" x14ac:dyDescent="0.35">
      <c r="A129" s="2">
        <v>44348</v>
      </c>
      <c r="B129" t="s">
        <v>60</v>
      </c>
      <c r="C129" t="s">
        <v>24</v>
      </c>
      <c r="D129">
        <v>0</v>
      </c>
      <c r="E129">
        <v>246</v>
      </c>
    </row>
    <row r="130" spans="1:5" x14ac:dyDescent="0.35">
      <c r="A130" s="2">
        <v>44348</v>
      </c>
      <c r="B130" t="s">
        <v>61</v>
      </c>
      <c r="C130" t="s">
        <v>21</v>
      </c>
      <c r="D130">
        <v>0</v>
      </c>
      <c r="E130">
        <v>648</v>
      </c>
    </row>
    <row r="131" spans="1:5" x14ac:dyDescent="0.35">
      <c r="A131" s="2">
        <v>44348</v>
      </c>
      <c r="B131" t="s">
        <v>61</v>
      </c>
      <c r="C131" t="s">
        <v>24</v>
      </c>
      <c r="D131">
        <v>0</v>
      </c>
      <c r="E131">
        <v>298</v>
      </c>
    </row>
    <row r="132" spans="1:5" x14ac:dyDescent="0.35">
      <c r="A132" s="2">
        <v>44348</v>
      </c>
      <c r="B132" t="s">
        <v>62</v>
      </c>
      <c r="C132" t="s">
        <v>21</v>
      </c>
      <c r="D132">
        <v>0</v>
      </c>
      <c r="E132">
        <v>42</v>
      </c>
    </row>
    <row r="133" spans="1:5" x14ac:dyDescent="0.35">
      <c r="A133" s="2">
        <v>44348</v>
      </c>
      <c r="B133" t="s">
        <v>62</v>
      </c>
      <c r="C133" t="s">
        <v>24</v>
      </c>
      <c r="D133">
        <v>0</v>
      </c>
      <c r="E133">
        <v>54</v>
      </c>
    </row>
    <row r="134" spans="1:5" x14ac:dyDescent="0.35">
      <c r="A134" s="2">
        <v>44348</v>
      </c>
      <c r="B134" t="s">
        <v>63</v>
      </c>
      <c r="C134" t="s">
        <v>24</v>
      </c>
      <c r="D134">
        <v>0</v>
      </c>
      <c r="E134">
        <v>445</v>
      </c>
    </row>
    <row r="135" spans="1:5" x14ac:dyDescent="0.35">
      <c r="A135" s="2">
        <v>44348</v>
      </c>
      <c r="B135" t="s">
        <v>64</v>
      </c>
      <c r="C135" t="s">
        <v>24</v>
      </c>
      <c r="D135">
        <v>0</v>
      </c>
      <c r="E135">
        <v>185</v>
      </c>
    </row>
    <row r="136" spans="1:5" x14ac:dyDescent="0.35">
      <c r="A136" s="2">
        <v>44378</v>
      </c>
      <c r="B136" t="s">
        <v>52</v>
      </c>
      <c r="C136" t="s">
        <v>21</v>
      </c>
      <c r="D136">
        <v>0</v>
      </c>
      <c r="E136">
        <v>467</v>
      </c>
    </row>
    <row r="137" spans="1:5" x14ac:dyDescent="0.35">
      <c r="A137" s="2">
        <v>44378</v>
      </c>
      <c r="B137" t="s">
        <v>53</v>
      </c>
      <c r="C137" t="s">
        <v>21</v>
      </c>
      <c r="D137">
        <v>0</v>
      </c>
      <c r="E137">
        <v>994</v>
      </c>
    </row>
    <row r="138" spans="1:5" x14ac:dyDescent="0.35">
      <c r="A138" s="2">
        <v>44378</v>
      </c>
      <c r="B138" t="s">
        <v>53</v>
      </c>
      <c r="C138" t="s">
        <v>24</v>
      </c>
      <c r="D138">
        <v>0</v>
      </c>
      <c r="E138">
        <v>661</v>
      </c>
    </row>
    <row r="139" spans="1:5" x14ac:dyDescent="0.35">
      <c r="A139" s="2">
        <v>44378</v>
      </c>
      <c r="B139" t="s">
        <v>54</v>
      </c>
      <c r="C139" t="s">
        <v>24</v>
      </c>
      <c r="D139">
        <v>0</v>
      </c>
      <c r="E139">
        <v>4988</v>
      </c>
    </row>
    <row r="140" spans="1:5" x14ac:dyDescent="0.35">
      <c r="A140" s="2">
        <v>44378</v>
      </c>
      <c r="B140" t="s">
        <v>56</v>
      </c>
      <c r="C140" t="s">
        <v>24</v>
      </c>
      <c r="D140">
        <v>0</v>
      </c>
      <c r="E140">
        <v>276</v>
      </c>
    </row>
    <row r="141" spans="1:5" x14ac:dyDescent="0.35">
      <c r="A141" s="2">
        <v>44378</v>
      </c>
      <c r="B141" t="s">
        <v>58</v>
      </c>
      <c r="C141" t="s">
        <v>21</v>
      </c>
      <c r="D141">
        <v>0</v>
      </c>
      <c r="E141">
        <v>51</v>
      </c>
    </row>
    <row r="142" spans="1:5" x14ac:dyDescent="0.35">
      <c r="A142" s="2">
        <v>44378</v>
      </c>
      <c r="B142" t="s">
        <v>58</v>
      </c>
      <c r="C142" t="s">
        <v>24</v>
      </c>
      <c r="D142">
        <v>0</v>
      </c>
      <c r="E142">
        <v>552</v>
      </c>
    </row>
    <row r="143" spans="1:5" x14ac:dyDescent="0.35">
      <c r="A143" s="2">
        <v>44378</v>
      </c>
      <c r="B143" t="s">
        <v>59</v>
      </c>
      <c r="C143" t="s">
        <v>21</v>
      </c>
      <c r="D143">
        <v>0</v>
      </c>
      <c r="E143">
        <v>474</v>
      </c>
    </row>
    <row r="144" spans="1:5" x14ac:dyDescent="0.35">
      <c r="A144" s="2">
        <v>44378</v>
      </c>
      <c r="B144" t="s">
        <v>59</v>
      </c>
      <c r="C144" t="s">
        <v>24</v>
      </c>
      <c r="D144">
        <v>0</v>
      </c>
      <c r="E144">
        <v>68</v>
      </c>
    </row>
    <row r="145" spans="1:5" x14ac:dyDescent="0.35">
      <c r="A145" s="2">
        <v>44378</v>
      </c>
      <c r="B145" t="s">
        <v>60</v>
      </c>
      <c r="C145" t="s">
        <v>21</v>
      </c>
      <c r="D145">
        <v>0</v>
      </c>
      <c r="E145">
        <v>726</v>
      </c>
    </row>
    <row r="146" spans="1:5" x14ac:dyDescent="0.35">
      <c r="A146" s="2">
        <v>44378</v>
      </c>
      <c r="B146" t="s">
        <v>61</v>
      </c>
      <c r="C146" t="s">
        <v>21</v>
      </c>
      <c r="D146">
        <v>0</v>
      </c>
      <c r="E146">
        <v>1096</v>
      </c>
    </row>
    <row r="147" spans="1:5" x14ac:dyDescent="0.35">
      <c r="A147" s="2">
        <v>44378</v>
      </c>
      <c r="B147" t="s">
        <v>61</v>
      </c>
      <c r="C147" t="s">
        <v>24</v>
      </c>
      <c r="D147">
        <v>0</v>
      </c>
      <c r="E147">
        <v>219</v>
      </c>
    </row>
    <row r="148" spans="1:5" x14ac:dyDescent="0.35">
      <c r="A148" s="2">
        <v>44378</v>
      </c>
      <c r="B148" t="s">
        <v>62</v>
      </c>
      <c r="C148" t="s">
        <v>21</v>
      </c>
      <c r="D148">
        <v>0</v>
      </c>
      <c r="E148">
        <v>583</v>
      </c>
    </row>
    <row r="149" spans="1:5" x14ac:dyDescent="0.35">
      <c r="A149" s="2">
        <v>44378</v>
      </c>
      <c r="B149" t="s">
        <v>62</v>
      </c>
      <c r="C149" t="s">
        <v>24</v>
      </c>
      <c r="D149">
        <v>0</v>
      </c>
      <c r="E149">
        <v>1039</v>
      </c>
    </row>
    <row r="150" spans="1:5" x14ac:dyDescent="0.35">
      <c r="A150" s="2">
        <v>44378</v>
      </c>
      <c r="B150" t="s">
        <v>63</v>
      </c>
      <c r="C150" t="s">
        <v>24</v>
      </c>
      <c r="D150">
        <v>0</v>
      </c>
      <c r="E150">
        <v>866</v>
      </c>
    </row>
    <row r="151" spans="1:5" x14ac:dyDescent="0.35">
      <c r="A151" s="2">
        <v>44378</v>
      </c>
      <c r="B151" t="s">
        <v>64</v>
      </c>
      <c r="C151" t="s">
        <v>21</v>
      </c>
      <c r="D151">
        <v>0</v>
      </c>
      <c r="E151">
        <v>2211</v>
      </c>
    </row>
    <row r="152" spans="1:5" x14ac:dyDescent="0.35">
      <c r="A152" s="2">
        <v>44378</v>
      </c>
      <c r="B152" t="s">
        <v>64</v>
      </c>
      <c r="C152" t="s">
        <v>24</v>
      </c>
      <c r="D152">
        <v>0</v>
      </c>
      <c r="E152">
        <v>352</v>
      </c>
    </row>
    <row r="153" spans="1:5" x14ac:dyDescent="0.35">
      <c r="A153" s="2">
        <v>44409</v>
      </c>
      <c r="B153" t="s">
        <v>52</v>
      </c>
      <c r="C153" t="s">
        <v>21</v>
      </c>
      <c r="D153">
        <v>0</v>
      </c>
      <c r="E153">
        <v>406</v>
      </c>
    </row>
    <row r="154" spans="1:5" x14ac:dyDescent="0.35">
      <c r="A154" s="2">
        <v>44409</v>
      </c>
      <c r="B154" t="s">
        <v>53</v>
      </c>
      <c r="C154" t="s">
        <v>21</v>
      </c>
      <c r="D154">
        <v>0</v>
      </c>
      <c r="E154">
        <v>1126</v>
      </c>
    </row>
    <row r="155" spans="1:5" x14ac:dyDescent="0.35">
      <c r="A155" s="2">
        <v>44409</v>
      </c>
      <c r="B155" t="s">
        <v>53</v>
      </c>
      <c r="C155" t="s">
        <v>24</v>
      </c>
      <c r="D155">
        <v>0</v>
      </c>
      <c r="E155">
        <v>758</v>
      </c>
    </row>
    <row r="156" spans="1:5" x14ac:dyDescent="0.35">
      <c r="A156" s="2">
        <v>44409</v>
      </c>
      <c r="B156" t="s">
        <v>56</v>
      </c>
      <c r="C156" t="s">
        <v>24</v>
      </c>
      <c r="D156">
        <v>0</v>
      </c>
      <c r="E156">
        <v>321</v>
      </c>
    </row>
    <row r="157" spans="1:5" x14ac:dyDescent="0.35">
      <c r="A157" s="2">
        <v>44409</v>
      </c>
      <c r="B157" t="s">
        <v>72</v>
      </c>
      <c r="C157" t="s">
        <v>24</v>
      </c>
      <c r="D157">
        <v>0</v>
      </c>
      <c r="E157">
        <v>3641</v>
      </c>
    </row>
    <row r="158" spans="1:5" x14ac:dyDescent="0.35">
      <c r="A158" s="2">
        <v>44409</v>
      </c>
      <c r="B158" t="s">
        <v>57</v>
      </c>
      <c r="C158" t="s">
        <v>24</v>
      </c>
      <c r="D158">
        <v>0</v>
      </c>
      <c r="E158">
        <v>5430</v>
      </c>
    </row>
    <row r="159" spans="1:5" x14ac:dyDescent="0.35">
      <c r="A159" s="2">
        <v>44409</v>
      </c>
      <c r="B159" t="s">
        <v>58</v>
      </c>
      <c r="C159" t="s">
        <v>21</v>
      </c>
      <c r="D159">
        <v>0</v>
      </c>
      <c r="E159">
        <v>30</v>
      </c>
    </row>
    <row r="160" spans="1:5" x14ac:dyDescent="0.35">
      <c r="A160" s="2">
        <v>44409</v>
      </c>
      <c r="B160" t="s">
        <v>58</v>
      </c>
      <c r="C160" t="s">
        <v>24</v>
      </c>
      <c r="D160">
        <v>0</v>
      </c>
      <c r="E160">
        <v>459</v>
      </c>
    </row>
    <row r="161" spans="1:5" x14ac:dyDescent="0.35">
      <c r="A161" s="2">
        <v>44409</v>
      </c>
      <c r="B161" t="s">
        <v>59</v>
      </c>
      <c r="C161" t="s">
        <v>21</v>
      </c>
      <c r="D161">
        <v>0</v>
      </c>
      <c r="E161">
        <v>1016</v>
      </c>
    </row>
    <row r="162" spans="1:5" x14ac:dyDescent="0.35">
      <c r="A162" s="2">
        <v>44409</v>
      </c>
      <c r="B162" t="s">
        <v>59</v>
      </c>
      <c r="C162" t="s">
        <v>24</v>
      </c>
      <c r="D162">
        <v>0</v>
      </c>
      <c r="E162">
        <v>561</v>
      </c>
    </row>
    <row r="163" spans="1:5" x14ac:dyDescent="0.35">
      <c r="A163" s="2">
        <v>44409</v>
      </c>
      <c r="B163" t="s">
        <v>60</v>
      </c>
      <c r="C163" t="s">
        <v>21</v>
      </c>
      <c r="D163">
        <v>0</v>
      </c>
      <c r="E163">
        <v>1041</v>
      </c>
    </row>
    <row r="164" spans="1:5" x14ac:dyDescent="0.35">
      <c r="A164" s="2">
        <v>44409</v>
      </c>
      <c r="B164" t="s">
        <v>60</v>
      </c>
      <c r="C164" t="s">
        <v>24</v>
      </c>
      <c r="D164">
        <v>0</v>
      </c>
      <c r="E164">
        <v>826</v>
      </c>
    </row>
    <row r="165" spans="1:5" x14ac:dyDescent="0.35">
      <c r="A165" s="2">
        <v>44409</v>
      </c>
      <c r="B165" t="s">
        <v>61</v>
      </c>
      <c r="C165" t="s">
        <v>21</v>
      </c>
      <c r="D165">
        <v>0</v>
      </c>
      <c r="E165">
        <v>1057</v>
      </c>
    </row>
    <row r="166" spans="1:5" x14ac:dyDescent="0.35">
      <c r="A166" s="2">
        <v>44409</v>
      </c>
      <c r="B166" t="s">
        <v>61</v>
      </c>
      <c r="C166" t="s">
        <v>24</v>
      </c>
      <c r="D166">
        <v>0</v>
      </c>
      <c r="E166">
        <v>240</v>
      </c>
    </row>
    <row r="167" spans="1:5" x14ac:dyDescent="0.35">
      <c r="A167" s="2">
        <v>44409</v>
      </c>
      <c r="B167" t="s">
        <v>62</v>
      </c>
      <c r="C167" t="s">
        <v>21</v>
      </c>
      <c r="D167">
        <v>0</v>
      </c>
      <c r="E167">
        <v>577</v>
      </c>
    </row>
    <row r="168" spans="1:5" x14ac:dyDescent="0.35">
      <c r="A168" s="2">
        <v>44409</v>
      </c>
      <c r="B168" t="s">
        <v>62</v>
      </c>
      <c r="C168" t="s">
        <v>24</v>
      </c>
      <c r="D168">
        <v>0</v>
      </c>
      <c r="E168">
        <v>763</v>
      </c>
    </row>
    <row r="169" spans="1:5" x14ac:dyDescent="0.35">
      <c r="A169" s="2">
        <v>44409</v>
      </c>
      <c r="B169" t="s">
        <v>64</v>
      </c>
      <c r="C169" t="s">
        <v>21</v>
      </c>
      <c r="D169">
        <v>0</v>
      </c>
      <c r="E169">
        <v>2462</v>
      </c>
    </row>
    <row r="170" spans="1:5" x14ac:dyDescent="0.35">
      <c r="A170" s="2">
        <v>44409</v>
      </c>
      <c r="B170" t="s">
        <v>64</v>
      </c>
      <c r="C170" t="s">
        <v>24</v>
      </c>
      <c r="D170">
        <v>0</v>
      </c>
      <c r="E170">
        <v>462</v>
      </c>
    </row>
    <row r="171" spans="1:5" x14ac:dyDescent="0.35">
      <c r="A171" s="2">
        <v>44440</v>
      </c>
      <c r="B171" t="s">
        <v>52</v>
      </c>
      <c r="C171" t="s">
        <v>21</v>
      </c>
      <c r="D171">
        <v>0</v>
      </c>
      <c r="E171">
        <v>329</v>
      </c>
    </row>
    <row r="172" spans="1:5" x14ac:dyDescent="0.35">
      <c r="A172" s="2">
        <v>44440</v>
      </c>
      <c r="B172" t="s">
        <v>52</v>
      </c>
      <c r="C172" t="s">
        <v>24</v>
      </c>
      <c r="D172">
        <v>0</v>
      </c>
      <c r="E172">
        <v>87</v>
      </c>
    </row>
    <row r="173" spans="1:5" x14ac:dyDescent="0.35">
      <c r="A173" s="2">
        <v>44440</v>
      </c>
      <c r="B173" t="s">
        <v>53</v>
      </c>
      <c r="C173" t="s">
        <v>21</v>
      </c>
      <c r="D173">
        <v>0</v>
      </c>
      <c r="E173">
        <v>1260</v>
      </c>
    </row>
    <row r="174" spans="1:5" x14ac:dyDescent="0.35">
      <c r="A174" s="2">
        <v>44440</v>
      </c>
      <c r="B174" t="s">
        <v>53</v>
      </c>
      <c r="C174" t="s">
        <v>24</v>
      </c>
      <c r="D174">
        <v>0</v>
      </c>
      <c r="E174">
        <v>637</v>
      </c>
    </row>
    <row r="175" spans="1:5" x14ac:dyDescent="0.35">
      <c r="A175" s="2">
        <v>44440</v>
      </c>
      <c r="B175" t="s">
        <v>54</v>
      </c>
      <c r="C175" t="s">
        <v>24</v>
      </c>
      <c r="D175">
        <v>0</v>
      </c>
      <c r="E175">
        <v>6036</v>
      </c>
    </row>
    <row r="176" spans="1:5" x14ac:dyDescent="0.35">
      <c r="A176" s="2">
        <v>44440</v>
      </c>
      <c r="B176" t="s">
        <v>56</v>
      </c>
      <c r="C176" t="s">
        <v>24</v>
      </c>
      <c r="D176">
        <v>0</v>
      </c>
      <c r="E176">
        <v>348</v>
      </c>
    </row>
    <row r="177" spans="1:5" x14ac:dyDescent="0.35">
      <c r="A177" s="2">
        <v>44440</v>
      </c>
      <c r="B177" t="s">
        <v>58</v>
      </c>
      <c r="C177" t="s">
        <v>21</v>
      </c>
      <c r="D177">
        <v>0</v>
      </c>
      <c r="E177">
        <v>26</v>
      </c>
    </row>
    <row r="178" spans="1:5" x14ac:dyDescent="0.35">
      <c r="A178" s="2">
        <v>44440</v>
      </c>
      <c r="B178" t="s">
        <v>58</v>
      </c>
      <c r="C178" t="s">
        <v>24</v>
      </c>
      <c r="D178">
        <v>0</v>
      </c>
      <c r="E178">
        <v>444</v>
      </c>
    </row>
    <row r="179" spans="1:5" x14ac:dyDescent="0.35">
      <c r="A179" s="2">
        <v>44440</v>
      </c>
      <c r="B179" t="s">
        <v>59</v>
      </c>
      <c r="C179" t="s">
        <v>21</v>
      </c>
      <c r="D179">
        <v>0</v>
      </c>
      <c r="E179">
        <v>3492</v>
      </c>
    </row>
    <row r="180" spans="1:5" x14ac:dyDescent="0.35">
      <c r="A180" s="2">
        <v>44440</v>
      </c>
      <c r="B180" t="s">
        <v>59</v>
      </c>
      <c r="C180" t="s">
        <v>24</v>
      </c>
      <c r="D180">
        <v>0</v>
      </c>
      <c r="E180">
        <v>1202</v>
      </c>
    </row>
    <row r="181" spans="1:5" x14ac:dyDescent="0.35">
      <c r="A181" s="2">
        <v>44440</v>
      </c>
      <c r="B181" t="s">
        <v>60</v>
      </c>
      <c r="C181" t="s">
        <v>21</v>
      </c>
      <c r="D181">
        <v>0</v>
      </c>
      <c r="E181">
        <v>1396</v>
      </c>
    </row>
    <row r="182" spans="1:5" x14ac:dyDescent="0.35">
      <c r="A182" s="2">
        <v>44440</v>
      </c>
      <c r="B182" t="s">
        <v>60</v>
      </c>
      <c r="C182" t="s">
        <v>24</v>
      </c>
      <c r="D182">
        <v>0</v>
      </c>
      <c r="E182">
        <v>905</v>
      </c>
    </row>
    <row r="183" spans="1:5" x14ac:dyDescent="0.35">
      <c r="A183" s="2">
        <v>44440</v>
      </c>
      <c r="B183" t="s">
        <v>61</v>
      </c>
      <c r="C183" t="s">
        <v>21</v>
      </c>
      <c r="D183">
        <v>0</v>
      </c>
      <c r="E183">
        <v>1465</v>
      </c>
    </row>
    <row r="184" spans="1:5" x14ac:dyDescent="0.35">
      <c r="A184" s="2">
        <v>44440</v>
      </c>
      <c r="B184" t="s">
        <v>61</v>
      </c>
      <c r="C184" t="s">
        <v>24</v>
      </c>
      <c r="D184">
        <v>0</v>
      </c>
      <c r="E184">
        <v>264</v>
      </c>
    </row>
    <row r="185" spans="1:5" x14ac:dyDescent="0.35">
      <c r="A185" s="2">
        <v>44440</v>
      </c>
      <c r="B185" t="s">
        <v>62</v>
      </c>
      <c r="C185" t="s">
        <v>24</v>
      </c>
      <c r="D185">
        <v>0</v>
      </c>
      <c r="E185">
        <v>681</v>
      </c>
    </row>
    <row r="186" spans="1:5" x14ac:dyDescent="0.35">
      <c r="A186" s="2">
        <v>44440</v>
      </c>
      <c r="B186" t="s">
        <v>64</v>
      </c>
      <c r="C186" t="s">
        <v>21</v>
      </c>
      <c r="D186">
        <v>0</v>
      </c>
      <c r="E186">
        <v>2736</v>
      </c>
    </row>
    <row r="187" spans="1:5" x14ac:dyDescent="0.35">
      <c r="A187" s="2">
        <v>44440</v>
      </c>
      <c r="B187" t="s">
        <v>64</v>
      </c>
      <c r="C187" t="s">
        <v>24</v>
      </c>
      <c r="D187">
        <v>0</v>
      </c>
      <c r="E187">
        <v>403</v>
      </c>
    </row>
    <row r="188" spans="1:5" x14ac:dyDescent="0.35">
      <c r="A188" s="2">
        <v>44470</v>
      </c>
      <c r="B188" t="s">
        <v>52</v>
      </c>
      <c r="C188" t="s">
        <v>21</v>
      </c>
      <c r="D188">
        <v>0</v>
      </c>
      <c r="E188">
        <v>360</v>
      </c>
    </row>
    <row r="189" spans="1:5" x14ac:dyDescent="0.35">
      <c r="A189" s="2">
        <v>44470</v>
      </c>
      <c r="B189" t="s">
        <v>53</v>
      </c>
      <c r="C189" t="s">
        <v>21</v>
      </c>
      <c r="D189">
        <v>0</v>
      </c>
      <c r="E189">
        <v>1109</v>
      </c>
    </row>
    <row r="190" spans="1:5" x14ac:dyDescent="0.35">
      <c r="A190" s="2">
        <v>44470</v>
      </c>
      <c r="B190" t="s">
        <v>53</v>
      </c>
      <c r="C190" t="s">
        <v>24</v>
      </c>
      <c r="D190">
        <v>0</v>
      </c>
      <c r="E190">
        <v>570</v>
      </c>
    </row>
    <row r="191" spans="1:5" x14ac:dyDescent="0.35">
      <c r="A191" s="2">
        <v>44470</v>
      </c>
      <c r="B191" t="s">
        <v>54</v>
      </c>
      <c r="C191" t="s">
        <v>24</v>
      </c>
      <c r="D191">
        <v>0</v>
      </c>
      <c r="E191">
        <v>5877</v>
      </c>
    </row>
    <row r="192" spans="1:5" x14ac:dyDescent="0.35">
      <c r="A192" s="2">
        <v>44470</v>
      </c>
      <c r="B192" t="s">
        <v>58</v>
      </c>
      <c r="C192" t="s">
        <v>24</v>
      </c>
      <c r="D192">
        <v>0</v>
      </c>
      <c r="E192">
        <v>289</v>
      </c>
    </row>
    <row r="193" spans="1:5" x14ac:dyDescent="0.35">
      <c r="A193" s="2">
        <v>44470</v>
      </c>
      <c r="B193" t="s">
        <v>59</v>
      </c>
      <c r="C193" t="s">
        <v>24</v>
      </c>
      <c r="D193">
        <v>0</v>
      </c>
      <c r="E193">
        <v>916</v>
      </c>
    </row>
    <row r="194" spans="1:5" x14ac:dyDescent="0.35">
      <c r="A194" s="2">
        <v>44470</v>
      </c>
      <c r="B194" t="s">
        <v>60</v>
      </c>
      <c r="C194" t="s">
        <v>21</v>
      </c>
      <c r="D194">
        <v>0</v>
      </c>
      <c r="E194">
        <v>1414</v>
      </c>
    </row>
    <row r="195" spans="1:5" x14ac:dyDescent="0.35">
      <c r="A195" s="2">
        <v>44470</v>
      </c>
      <c r="B195" t="s">
        <v>60</v>
      </c>
      <c r="C195" t="s">
        <v>24</v>
      </c>
      <c r="D195">
        <v>0</v>
      </c>
      <c r="E195">
        <v>722</v>
      </c>
    </row>
    <row r="196" spans="1:5" x14ac:dyDescent="0.35">
      <c r="A196" s="2">
        <v>44470</v>
      </c>
      <c r="B196" t="s">
        <v>61</v>
      </c>
      <c r="C196" t="s">
        <v>21</v>
      </c>
      <c r="D196">
        <v>0</v>
      </c>
      <c r="E196">
        <v>1886</v>
      </c>
    </row>
    <row r="197" spans="1:5" x14ac:dyDescent="0.35">
      <c r="A197" s="2">
        <v>44470</v>
      </c>
      <c r="B197" t="s">
        <v>61</v>
      </c>
      <c r="C197" t="s">
        <v>24</v>
      </c>
      <c r="D197">
        <v>0</v>
      </c>
      <c r="E197">
        <v>283</v>
      </c>
    </row>
    <row r="198" spans="1:5" x14ac:dyDescent="0.35">
      <c r="A198" s="2">
        <v>44470</v>
      </c>
      <c r="B198" t="s">
        <v>62</v>
      </c>
      <c r="C198" t="s">
        <v>21</v>
      </c>
      <c r="D198">
        <v>0</v>
      </c>
      <c r="E198">
        <v>650</v>
      </c>
    </row>
    <row r="199" spans="1:5" x14ac:dyDescent="0.35">
      <c r="A199" s="2">
        <v>44470</v>
      </c>
      <c r="B199" t="s">
        <v>62</v>
      </c>
      <c r="C199" t="s">
        <v>24</v>
      </c>
      <c r="D199">
        <v>0</v>
      </c>
      <c r="E199">
        <v>567</v>
      </c>
    </row>
    <row r="200" spans="1:5" x14ac:dyDescent="0.35">
      <c r="A200" s="2">
        <v>44470</v>
      </c>
      <c r="B200" t="s">
        <v>63</v>
      </c>
      <c r="C200" t="s">
        <v>24</v>
      </c>
      <c r="D200">
        <v>0</v>
      </c>
      <c r="E200">
        <v>609</v>
      </c>
    </row>
    <row r="201" spans="1:5" x14ac:dyDescent="0.35">
      <c r="A201" s="2">
        <v>44470</v>
      </c>
      <c r="B201" t="s">
        <v>64</v>
      </c>
      <c r="C201" t="s">
        <v>21</v>
      </c>
      <c r="D201">
        <v>0</v>
      </c>
      <c r="E201">
        <v>3015</v>
      </c>
    </row>
    <row r="202" spans="1:5" x14ac:dyDescent="0.35">
      <c r="A202" s="2">
        <v>44470</v>
      </c>
      <c r="B202" t="s">
        <v>64</v>
      </c>
      <c r="C202" t="s">
        <v>24</v>
      </c>
      <c r="D202">
        <v>0</v>
      </c>
      <c r="E202">
        <v>366</v>
      </c>
    </row>
    <row r="203" spans="1:5" x14ac:dyDescent="0.35">
      <c r="A203" s="2">
        <v>44501</v>
      </c>
      <c r="B203" t="s">
        <v>52</v>
      </c>
      <c r="C203" t="s">
        <v>21</v>
      </c>
      <c r="D203">
        <v>0</v>
      </c>
      <c r="E203">
        <v>413</v>
      </c>
    </row>
    <row r="204" spans="1:5" x14ac:dyDescent="0.35">
      <c r="A204" s="2">
        <v>44501</v>
      </c>
      <c r="B204" t="s">
        <v>52</v>
      </c>
      <c r="C204" t="s">
        <v>24</v>
      </c>
      <c r="D204">
        <v>0</v>
      </c>
      <c r="E204">
        <v>125</v>
      </c>
    </row>
    <row r="205" spans="1:5" x14ac:dyDescent="0.35">
      <c r="A205" s="2">
        <v>44501</v>
      </c>
      <c r="B205" t="s">
        <v>53</v>
      </c>
      <c r="C205" t="s">
        <v>21</v>
      </c>
      <c r="D205">
        <v>0</v>
      </c>
      <c r="E205">
        <v>1262</v>
      </c>
    </row>
    <row r="206" spans="1:5" x14ac:dyDescent="0.35">
      <c r="A206" s="2">
        <v>44501</v>
      </c>
      <c r="B206" t="s">
        <v>53</v>
      </c>
      <c r="C206" t="s">
        <v>24</v>
      </c>
      <c r="D206">
        <v>0</v>
      </c>
      <c r="E206">
        <v>646</v>
      </c>
    </row>
    <row r="207" spans="1:5" x14ac:dyDescent="0.35">
      <c r="A207" s="2">
        <v>44501</v>
      </c>
      <c r="B207" t="s">
        <v>54</v>
      </c>
      <c r="C207" t="s">
        <v>24</v>
      </c>
      <c r="D207">
        <v>0</v>
      </c>
      <c r="E207">
        <v>5618</v>
      </c>
    </row>
    <row r="208" spans="1:5" x14ac:dyDescent="0.35">
      <c r="A208" s="2">
        <v>44501</v>
      </c>
      <c r="B208" t="s">
        <v>56</v>
      </c>
      <c r="C208" t="s">
        <v>24</v>
      </c>
      <c r="D208">
        <v>0</v>
      </c>
      <c r="E208">
        <v>330</v>
      </c>
    </row>
    <row r="209" spans="1:5" x14ac:dyDescent="0.35">
      <c r="A209" s="2">
        <v>44501</v>
      </c>
      <c r="B209" t="s">
        <v>72</v>
      </c>
      <c r="C209" t="s">
        <v>24</v>
      </c>
      <c r="D209">
        <v>0</v>
      </c>
      <c r="E209">
        <v>4496</v>
      </c>
    </row>
    <row r="210" spans="1:5" x14ac:dyDescent="0.35">
      <c r="A210" s="2">
        <v>44501</v>
      </c>
      <c r="B210" t="s">
        <v>57</v>
      </c>
      <c r="C210" t="s">
        <v>24</v>
      </c>
      <c r="D210">
        <v>0</v>
      </c>
      <c r="E210">
        <v>4709</v>
      </c>
    </row>
    <row r="211" spans="1:5" x14ac:dyDescent="0.35">
      <c r="A211" s="2">
        <v>44501</v>
      </c>
      <c r="B211" t="s">
        <v>58</v>
      </c>
      <c r="C211" t="s">
        <v>21</v>
      </c>
      <c r="D211">
        <v>0</v>
      </c>
      <c r="E211">
        <v>28</v>
      </c>
    </row>
    <row r="212" spans="1:5" x14ac:dyDescent="0.35">
      <c r="A212" s="2">
        <v>44501</v>
      </c>
      <c r="B212" t="s">
        <v>58</v>
      </c>
      <c r="C212" t="s">
        <v>24</v>
      </c>
      <c r="D212">
        <v>0</v>
      </c>
      <c r="E212">
        <v>287</v>
      </c>
    </row>
    <row r="213" spans="1:5" x14ac:dyDescent="0.35">
      <c r="A213" s="2">
        <v>44501</v>
      </c>
      <c r="B213" t="s">
        <v>59</v>
      </c>
      <c r="C213" t="s">
        <v>24</v>
      </c>
      <c r="D213">
        <v>0</v>
      </c>
      <c r="E213">
        <v>875</v>
      </c>
    </row>
    <row r="214" spans="1:5" x14ac:dyDescent="0.35">
      <c r="A214" s="2">
        <v>44501</v>
      </c>
      <c r="B214" t="s">
        <v>60</v>
      </c>
      <c r="C214" t="s">
        <v>21</v>
      </c>
      <c r="D214">
        <v>0</v>
      </c>
      <c r="E214">
        <v>1442</v>
      </c>
    </row>
    <row r="215" spans="1:5" x14ac:dyDescent="0.35">
      <c r="A215" s="2">
        <v>44501</v>
      </c>
      <c r="B215" t="s">
        <v>60</v>
      </c>
      <c r="C215" t="s">
        <v>24</v>
      </c>
      <c r="D215">
        <v>0</v>
      </c>
      <c r="E215">
        <v>806</v>
      </c>
    </row>
    <row r="216" spans="1:5" x14ac:dyDescent="0.35">
      <c r="A216" s="2">
        <v>44501</v>
      </c>
      <c r="B216" t="s">
        <v>61</v>
      </c>
      <c r="C216" t="s">
        <v>21</v>
      </c>
      <c r="D216">
        <v>0</v>
      </c>
      <c r="E216">
        <v>1820</v>
      </c>
    </row>
    <row r="217" spans="1:5" x14ac:dyDescent="0.35">
      <c r="A217" s="2">
        <v>44501</v>
      </c>
      <c r="B217" t="s">
        <v>61</v>
      </c>
      <c r="C217" t="s">
        <v>24</v>
      </c>
      <c r="D217">
        <v>0</v>
      </c>
      <c r="E217">
        <v>328</v>
      </c>
    </row>
    <row r="218" spans="1:5" x14ac:dyDescent="0.35">
      <c r="A218" s="2">
        <v>44501</v>
      </c>
      <c r="B218" t="s">
        <v>62</v>
      </c>
      <c r="C218" t="s">
        <v>21</v>
      </c>
      <c r="D218">
        <v>0</v>
      </c>
      <c r="E218">
        <v>592</v>
      </c>
    </row>
    <row r="219" spans="1:5" x14ac:dyDescent="0.35">
      <c r="A219" s="2">
        <v>44501</v>
      </c>
      <c r="B219" t="s">
        <v>62</v>
      </c>
      <c r="C219" t="s">
        <v>24</v>
      </c>
      <c r="D219">
        <v>0</v>
      </c>
      <c r="E219">
        <v>692</v>
      </c>
    </row>
    <row r="220" spans="1:5" x14ac:dyDescent="0.35">
      <c r="A220" s="2">
        <v>44501</v>
      </c>
      <c r="B220" t="s">
        <v>64</v>
      </c>
      <c r="C220" t="s">
        <v>21</v>
      </c>
      <c r="D220">
        <v>0</v>
      </c>
      <c r="E220">
        <v>3843</v>
      </c>
    </row>
    <row r="221" spans="1:5" x14ac:dyDescent="0.35">
      <c r="A221" s="2">
        <v>44501</v>
      </c>
      <c r="B221" t="s">
        <v>64</v>
      </c>
      <c r="C221" t="s">
        <v>24</v>
      </c>
      <c r="D221">
        <v>0</v>
      </c>
      <c r="E221">
        <v>326</v>
      </c>
    </row>
    <row r="222" spans="1:5" x14ac:dyDescent="0.35">
      <c r="A222" s="2">
        <v>44531</v>
      </c>
      <c r="B222" t="s">
        <v>52</v>
      </c>
      <c r="C222" t="s">
        <v>21</v>
      </c>
      <c r="D222">
        <v>0</v>
      </c>
      <c r="E222">
        <v>376</v>
      </c>
    </row>
    <row r="223" spans="1:5" x14ac:dyDescent="0.35">
      <c r="A223" s="2">
        <v>44531</v>
      </c>
      <c r="B223" t="s">
        <v>53</v>
      </c>
      <c r="C223" t="s">
        <v>21</v>
      </c>
      <c r="D223">
        <v>0</v>
      </c>
      <c r="E223">
        <v>1036</v>
      </c>
    </row>
    <row r="224" spans="1:5" x14ac:dyDescent="0.35">
      <c r="A224" s="2">
        <v>44531</v>
      </c>
      <c r="B224" t="s">
        <v>53</v>
      </c>
      <c r="C224" t="s">
        <v>24</v>
      </c>
      <c r="D224">
        <v>0</v>
      </c>
      <c r="E224">
        <v>709</v>
      </c>
    </row>
    <row r="225" spans="1:5" x14ac:dyDescent="0.35">
      <c r="A225" s="2">
        <v>44531</v>
      </c>
      <c r="B225" t="s">
        <v>57</v>
      </c>
      <c r="C225" t="s">
        <v>24</v>
      </c>
      <c r="D225">
        <v>0</v>
      </c>
      <c r="E225">
        <v>5306</v>
      </c>
    </row>
    <row r="226" spans="1:5" x14ac:dyDescent="0.35">
      <c r="A226" s="2">
        <v>44531</v>
      </c>
      <c r="B226" t="s">
        <v>58</v>
      </c>
      <c r="C226" t="s">
        <v>21</v>
      </c>
      <c r="D226">
        <v>0</v>
      </c>
      <c r="E226">
        <v>15</v>
      </c>
    </row>
    <row r="227" spans="1:5" x14ac:dyDescent="0.35">
      <c r="A227" s="2">
        <v>44531</v>
      </c>
      <c r="B227" t="s">
        <v>58</v>
      </c>
      <c r="C227" t="s">
        <v>24</v>
      </c>
      <c r="D227">
        <v>0</v>
      </c>
      <c r="E227">
        <v>167</v>
      </c>
    </row>
    <row r="228" spans="1:5" x14ac:dyDescent="0.35">
      <c r="A228" s="2">
        <v>44531</v>
      </c>
      <c r="B228" t="s">
        <v>59</v>
      </c>
      <c r="C228" t="s">
        <v>24</v>
      </c>
      <c r="D228">
        <v>0</v>
      </c>
      <c r="E228">
        <v>849</v>
      </c>
    </row>
    <row r="229" spans="1:5" x14ac:dyDescent="0.35">
      <c r="A229" s="2">
        <v>44531</v>
      </c>
      <c r="B229" t="s">
        <v>60</v>
      </c>
      <c r="C229" t="s">
        <v>21</v>
      </c>
      <c r="D229">
        <v>0</v>
      </c>
      <c r="E229">
        <v>1101</v>
      </c>
    </row>
    <row r="230" spans="1:5" x14ac:dyDescent="0.35">
      <c r="A230" s="2">
        <v>44531</v>
      </c>
      <c r="B230" t="s">
        <v>60</v>
      </c>
      <c r="C230" t="s">
        <v>24</v>
      </c>
      <c r="D230">
        <v>0</v>
      </c>
      <c r="E230">
        <v>888</v>
      </c>
    </row>
    <row r="231" spans="1:5" x14ac:dyDescent="0.35">
      <c r="A231" s="2">
        <v>44531</v>
      </c>
      <c r="B231" t="s">
        <v>61</v>
      </c>
      <c r="C231" t="s">
        <v>21</v>
      </c>
      <c r="D231">
        <v>0</v>
      </c>
      <c r="E231">
        <v>1740</v>
      </c>
    </row>
    <row r="232" spans="1:5" x14ac:dyDescent="0.35">
      <c r="A232" s="2">
        <v>44531</v>
      </c>
      <c r="B232" t="s">
        <v>61</v>
      </c>
      <c r="C232" t="s">
        <v>24</v>
      </c>
      <c r="D232">
        <v>0</v>
      </c>
      <c r="E232">
        <v>376</v>
      </c>
    </row>
    <row r="233" spans="1:5" x14ac:dyDescent="0.35">
      <c r="A233" s="2">
        <v>44531</v>
      </c>
      <c r="B233" t="s">
        <v>62</v>
      </c>
      <c r="C233" t="s">
        <v>21</v>
      </c>
      <c r="D233">
        <v>0</v>
      </c>
      <c r="E233">
        <v>353</v>
      </c>
    </row>
    <row r="234" spans="1:5" x14ac:dyDescent="0.35">
      <c r="A234" s="2">
        <v>44531</v>
      </c>
      <c r="B234" t="s">
        <v>62</v>
      </c>
      <c r="C234" t="s">
        <v>24</v>
      </c>
      <c r="D234">
        <v>0</v>
      </c>
      <c r="E234">
        <v>540</v>
      </c>
    </row>
    <row r="235" spans="1:5" x14ac:dyDescent="0.35">
      <c r="A235" s="2">
        <v>44531</v>
      </c>
      <c r="B235" t="s">
        <v>64</v>
      </c>
      <c r="C235" t="s">
        <v>24</v>
      </c>
      <c r="D235">
        <v>0</v>
      </c>
      <c r="E235">
        <v>352</v>
      </c>
    </row>
    <row r="236" spans="1:5" x14ac:dyDescent="0.35">
      <c r="A236" s="2">
        <v>44562</v>
      </c>
      <c r="B236" t="s">
        <v>52</v>
      </c>
      <c r="C236" t="s">
        <v>21</v>
      </c>
      <c r="D236">
        <v>0</v>
      </c>
      <c r="E236">
        <v>336</v>
      </c>
    </row>
    <row r="237" spans="1:5" x14ac:dyDescent="0.35">
      <c r="A237" s="2">
        <v>44562</v>
      </c>
      <c r="B237" t="s">
        <v>52</v>
      </c>
      <c r="C237" t="s">
        <v>24</v>
      </c>
      <c r="D237">
        <v>0</v>
      </c>
      <c r="E237">
        <v>90</v>
      </c>
    </row>
    <row r="238" spans="1:5" x14ac:dyDescent="0.35">
      <c r="A238" s="2">
        <v>44562</v>
      </c>
      <c r="B238" t="s">
        <v>53</v>
      </c>
      <c r="C238" t="s">
        <v>21</v>
      </c>
      <c r="D238">
        <v>0</v>
      </c>
      <c r="E238">
        <v>950</v>
      </c>
    </row>
    <row r="239" spans="1:5" x14ac:dyDescent="0.35">
      <c r="A239" s="2">
        <v>44562</v>
      </c>
      <c r="B239" t="s">
        <v>53</v>
      </c>
      <c r="C239" t="s">
        <v>24</v>
      </c>
      <c r="D239">
        <v>0</v>
      </c>
      <c r="E239">
        <v>766</v>
      </c>
    </row>
    <row r="240" spans="1:5" x14ac:dyDescent="0.35">
      <c r="A240" s="2">
        <v>44562</v>
      </c>
      <c r="B240" t="s">
        <v>54</v>
      </c>
      <c r="C240" t="s">
        <v>24</v>
      </c>
      <c r="D240">
        <v>0</v>
      </c>
      <c r="E240">
        <v>5550</v>
      </c>
    </row>
    <row r="241" spans="1:5" x14ac:dyDescent="0.35">
      <c r="A241" s="2">
        <v>44562</v>
      </c>
      <c r="B241" t="s">
        <v>56</v>
      </c>
      <c r="C241" t="s">
        <v>24</v>
      </c>
      <c r="D241">
        <v>0</v>
      </c>
      <c r="E241">
        <v>358</v>
      </c>
    </row>
    <row r="242" spans="1:5" x14ac:dyDescent="0.35">
      <c r="A242" s="2">
        <v>44562</v>
      </c>
      <c r="B242" t="s">
        <v>57</v>
      </c>
      <c r="C242" t="s">
        <v>24</v>
      </c>
      <c r="D242">
        <v>0</v>
      </c>
      <c r="E242">
        <v>3963</v>
      </c>
    </row>
    <row r="243" spans="1:5" x14ac:dyDescent="0.35">
      <c r="A243" s="2">
        <v>44562</v>
      </c>
      <c r="B243" t="s">
        <v>58</v>
      </c>
      <c r="C243" t="s">
        <v>24</v>
      </c>
      <c r="D243">
        <v>0</v>
      </c>
      <c r="E243">
        <v>150</v>
      </c>
    </row>
    <row r="244" spans="1:5" x14ac:dyDescent="0.35">
      <c r="A244" s="2">
        <v>44562</v>
      </c>
      <c r="B244" t="s">
        <v>59</v>
      </c>
      <c r="C244" t="s">
        <v>24</v>
      </c>
      <c r="D244">
        <v>0</v>
      </c>
      <c r="E244">
        <v>687</v>
      </c>
    </row>
    <row r="245" spans="1:5" x14ac:dyDescent="0.35">
      <c r="A245" s="2">
        <v>44562</v>
      </c>
      <c r="B245" t="s">
        <v>60</v>
      </c>
      <c r="C245" t="s">
        <v>21</v>
      </c>
      <c r="D245">
        <v>0</v>
      </c>
      <c r="E245">
        <v>1112</v>
      </c>
    </row>
    <row r="246" spans="1:5" x14ac:dyDescent="0.35">
      <c r="A246" s="2">
        <v>44562</v>
      </c>
      <c r="B246" t="s">
        <v>60</v>
      </c>
      <c r="C246" t="s">
        <v>24</v>
      </c>
      <c r="D246">
        <v>0</v>
      </c>
      <c r="E246">
        <v>1063</v>
      </c>
    </row>
    <row r="247" spans="1:5" x14ac:dyDescent="0.35">
      <c r="A247" s="2">
        <v>44562</v>
      </c>
      <c r="B247" t="s">
        <v>61</v>
      </c>
      <c r="C247" t="s">
        <v>21</v>
      </c>
      <c r="D247">
        <v>0</v>
      </c>
      <c r="E247">
        <v>1387</v>
      </c>
    </row>
    <row r="248" spans="1:5" x14ac:dyDescent="0.35">
      <c r="A248" s="2">
        <v>44562</v>
      </c>
      <c r="B248" t="s">
        <v>61</v>
      </c>
      <c r="C248" t="s">
        <v>24</v>
      </c>
      <c r="D248">
        <v>0</v>
      </c>
      <c r="E248">
        <v>311</v>
      </c>
    </row>
    <row r="249" spans="1:5" x14ac:dyDescent="0.35">
      <c r="A249" s="2">
        <v>44562</v>
      </c>
      <c r="B249" t="s">
        <v>62</v>
      </c>
      <c r="C249" t="s">
        <v>21</v>
      </c>
      <c r="D249">
        <v>0</v>
      </c>
      <c r="E249">
        <v>410</v>
      </c>
    </row>
    <row r="250" spans="1:5" x14ac:dyDescent="0.35">
      <c r="A250" s="2">
        <v>44562</v>
      </c>
      <c r="B250" t="s">
        <v>62</v>
      </c>
      <c r="C250" t="s">
        <v>24</v>
      </c>
      <c r="D250">
        <v>0</v>
      </c>
      <c r="E250">
        <v>722</v>
      </c>
    </row>
    <row r="251" spans="1:5" x14ac:dyDescent="0.35">
      <c r="A251" s="2">
        <v>44562</v>
      </c>
      <c r="B251" t="s">
        <v>63</v>
      </c>
      <c r="C251" t="s">
        <v>24</v>
      </c>
      <c r="D251">
        <v>0</v>
      </c>
      <c r="E251">
        <v>758</v>
      </c>
    </row>
    <row r="252" spans="1:5" x14ac:dyDescent="0.35">
      <c r="A252" s="2">
        <v>44562</v>
      </c>
      <c r="B252" t="s">
        <v>64</v>
      </c>
      <c r="C252" t="s">
        <v>24</v>
      </c>
      <c r="D252">
        <v>0</v>
      </c>
      <c r="E252">
        <v>394</v>
      </c>
    </row>
    <row r="253" spans="1:5" x14ac:dyDescent="0.35">
      <c r="A253" s="2">
        <v>44593</v>
      </c>
      <c r="B253" t="s">
        <v>52</v>
      </c>
      <c r="C253" t="s">
        <v>21</v>
      </c>
      <c r="D253">
        <v>0</v>
      </c>
      <c r="E253">
        <v>388</v>
      </c>
    </row>
    <row r="254" spans="1:5" x14ac:dyDescent="0.35">
      <c r="A254" s="2">
        <v>44593</v>
      </c>
      <c r="B254" t="s">
        <v>52</v>
      </c>
      <c r="C254" t="s">
        <v>24</v>
      </c>
      <c r="D254">
        <v>0</v>
      </c>
      <c r="E254">
        <v>112</v>
      </c>
    </row>
    <row r="255" spans="1:5" x14ac:dyDescent="0.35">
      <c r="A255" s="2">
        <v>44593</v>
      </c>
      <c r="B255" t="s">
        <v>53</v>
      </c>
      <c r="C255" t="s">
        <v>21</v>
      </c>
      <c r="D255">
        <v>0</v>
      </c>
      <c r="E255">
        <v>858</v>
      </c>
    </row>
    <row r="256" spans="1:5" x14ac:dyDescent="0.35">
      <c r="A256" s="2">
        <v>44593</v>
      </c>
      <c r="B256" t="s">
        <v>53</v>
      </c>
      <c r="C256" t="s">
        <v>24</v>
      </c>
      <c r="D256">
        <v>0</v>
      </c>
      <c r="E256">
        <v>671</v>
      </c>
    </row>
    <row r="257" spans="1:5" x14ac:dyDescent="0.35">
      <c r="A257" s="2">
        <v>44593</v>
      </c>
      <c r="B257" t="s">
        <v>58</v>
      </c>
      <c r="C257" t="s">
        <v>21</v>
      </c>
      <c r="D257">
        <v>0</v>
      </c>
      <c r="E257">
        <v>15</v>
      </c>
    </row>
    <row r="258" spans="1:5" x14ac:dyDescent="0.35">
      <c r="A258" s="2">
        <v>44593</v>
      </c>
      <c r="B258" t="s">
        <v>58</v>
      </c>
      <c r="C258" t="s">
        <v>24</v>
      </c>
      <c r="D258">
        <v>0</v>
      </c>
      <c r="E258">
        <v>44</v>
      </c>
    </row>
    <row r="259" spans="1:5" x14ac:dyDescent="0.35">
      <c r="A259" s="2">
        <v>44593</v>
      </c>
      <c r="B259" t="s">
        <v>59</v>
      </c>
      <c r="C259" t="s">
        <v>24</v>
      </c>
      <c r="D259">
        <v>0</v>
      </c>
      <c r="E259">
        <v>834</v>
      </c>
    </row>
    <row r="260" spans="1:5" x14ac:dyDescent="0.35">
      <c r="A260" s="2">
        <v>44593</v>
      </c>
      <c r="B260" t="s">
        <v>60</v>
      </c>
      <c r="C260" t="s">
        <v>21</v>
      </c>
      <c r="D260">
        <v>0</v>
      </c>
      <c r="E260">
        <v>1145</v>
      </c>
    </row>
    <row r="261" spans="1:5" x14ac:dyDescent="0.35">
      <c r="A261" s="2">
        <v>44593</v>
      </c>
      <c r="B261" t="s">
        <v>61</v>
      </c>
      <c r="C261" t="s">
        <v>21</v>
      </c>
      <c r="D261">
        <v>0</v>
      </c>
      <c r="E261">
        <v>1599</v>
      </c>
    </row>
    <row r="262" spans="1:5" x14ac:dyDescent="0.35">
      <c r="A262" s="2">
        <v>44593</v>
      </c>
      <c r="B262" t="s">
        <v>61</v>
      </c>
      <c r="C262" t="s">
        <v>24</v>
      </c>
      <c r="D262">
        <v>0</v>
      </c>
      <c r="E262">
        <v>354</v>
      </c>
    </row>
    <row r="263" spans="1:5" x14ac:dyDescent="0.35">
      <c r="A263" s="2">
        <v>44593</v>
      </c>
      <c r="B263" t="s">
        <v>62</v>
      </c>
      <c r="C263" t="s">
        <v>21</v>
      </c>
      <c r="D263">
        <v>0</v>
      </c>
      <c r="E263">
        <v>504</v>
      </c>
    </row>
    <row r="264" spans="1:5" x14ac:dyDescent="0.35">
      <c r="A264" s="2">
        <v>44593</v>
      </c>
      <c r="B264" t="s">
        <v>62</v>
      </c>
      <c r="C264" t="s">
        <v>24</v>
      </c>
      <c r="D264">
        <v>0</v>
      </c>
      <c r="E264">
        <v>773</v>
      </c>
    </row>
    <row r="265" spans="1:5" x14ac:dyDescent="0.35">
      <c r="A265" s="2">
        <v>44593</v>
      </c>
      <c r="B265" t="s">
        <v>63</v>
      </c>
      <c r="C265" t="s">
        <v>24</v>
      </c>
      <c r="D265">
        <v>0</v>
      </c>
      <c r="E265">
        <v>622</v>
      </c>
    </row>
    <row r="266" spans="1:5" x14ac:dyDescent="0.35">
      <c r="A266" s="2">
        <v>44593</v>
      </c>
      <c r="B266" t="s">
        <v>64</v>
      </c>
      <c r="C266" t="s">
        <v>24</v>
      </c>
      <c r="D266">
        <v>0</v>
      </c>
      <c r="E266">
        <v>340</v>
      </c>
    </row>
    <row r="267" spans="1:5" x14ac:dyDescent="0.35">
      <c r="A267" s="2">
        <v>44621</v>
      </c>
      <c r="B267" t="s">
        <v>52</v>
      </c>
      <c r="C267" t="s">
        <v>21</v>
      </c>
      <c r="D267">
        <v>0</v>
      </c>
      <c r="E267">
        <v>383</v>
      </c>
    </row>
    <row r="268" spans="1:5" x14ac:dyDescent="0.35">
      <c r="A268" s="2">
        <v>44621</v>
      </c>
      <c r="B268" t="s">
        <v>53</v>
      </c>
      <c r="C268" t="s">
        <v>21</v>
      </c>
      <c r="D268">
        <v>0</v>
      </c>
      <c r="E268">
        <v>1111</v>
      </c>
    </row>
    <row r="269" spans="1:5" x14ac:dyDescent="0.35">
      <c r="A269" s="2">
        <v>44621</v>
      </c>
      <c r="B269" t="s">
        <v>53</v>
      </c>
      <c r="C269" t="s">
        <v>24</v>
      </c>
      <c r="D269">
        <v>0</v>
      </c>
      <c r="E269">
        <v>679</v>
      </c>
    </row>
    <row r="270" spans="1:5" x14ac:dyDescent="0.35">
      <c r="A270" s="2">
        <v>44621</v>
      </c>
      <c r="B270" t="s">
        <v>58</v>
      </c>
      <c r="C270" t="s">
        <v>21</v>
      </c>
      <c r="D270">
        <v>0</v>
      </c>
      <c r="E270">
        <v>49</v>
      </c>
    </row>
    <row r="271" spans="1:5" x14ac:dyDescent="0.35">
      <c r="A271" s="2">
        <v>44621</v>
      </c>
      <c r="B271" t="s">
        <v>58</v>
      </c>
      <c r="C271" t="s">
        <v>24</v>
      </c>
      <c r="D271">
        <v>0</v>
      </c>
      <c r="E271">
        <v>49</v>
      </c>
    </row>
    <row r="272" spans="1:5" x14ac:dyDescent="0.35">
      <c r="A272" s="2">
        <v>44621</v>
      </c>
      <c r="B272" t="s">
        <v>59</v>
      </c>
      <c r="C272" t="s">
        <v>24</v>
      </c>
      <c r="D272">
        <v>0</v>
      </c>
      <c r="E272">
        <v>717</v>
      </c>
    </row>
    <row r="273" spans="1:5" x14ac:dyDescent="0.35">
      <c r="A273" s="2">
        <v>44621</v>
      </c>
      <c r="B273" t="s">
        <v>60</v>
      </c>
      <c r="C273" t="s">
        <v>21</v>
      </c>
      <c r="D273">
        <v>0</v>
      </c>
      <c r="E273">
        <v>1687</v>
      </c>
    </row>
    <row r="274" spans="1:5" x14ac:dyDescent="0.35">
      <c r="A274" s="2">
        <v>44621</v>
      </c>
      <c r="B274" t="s">
        <v>60</v>
      </c>
      <c r="C274" t="s">
        <v>24</v>
      </c>
      <c r="D274">
        <v>0</v>
      </c>
      <c r="E274">
        <v>1104</v>
      </c>
    </row>
    <row r="275" spans="1:5" x14ac:dyDescent="0.35">
      <c r="A275" s="2">
        <v>44621</v>
      </c>
      <c r="B275" t="s">
        <v>61</v>
      </c>
      <c r="C275" t="s">
        <v>21</v>
      </c>
      <c r="D275">
        <v>0</v>
      </c>
      <c r="E275">
        <v>1848</v>
      </c>
    </row>
    <row r="276" spans="1:5" x14ac:dyDescent="0.35">
      <c r="A276" s="2">
        <v>44621</v>
      </c>
      <c r="B276" t="s">
        <v>61</v>
      </c>
      <c r="C276" t="s">
        <v>24</v>
      </c>
      <c r="D276">
        <v>0</v>
      </c>
      <c r="E276">
        <v>413</v>
      </c>
    </row>
    <row r="277" spans="1:5" x14ac:dyDescent="0.35">
      <c r="A277" s="2">
        <v>44621</v>
      </c>
      <c r="B277" t="s">
        <v>62</v>
      </c>
      <c r="C277" t="s">
        <v>21</v>
      </c>
      <c r="D277">
        <v>0</v>
      </c>
      <c r="E277">
        <v>541</v>
      </c>
    </row>
    <row r="278" spans="1:5" x14ac:dyDescent="0.35">
      <c r="A278" s="2">
        <v>44621</v>
      </c>
      <c r="B278" t="s">
        <v>62</v>
      </c>
      <c r="C278" t="s">
        <v>24</v>
      </c>
      <c r="D278">
        <v>0</v>
      </c>
      <c r="E278">
        <v>632</v>
      </c>
    </row>
    <row r="279" spans="1:5" x14ac:dyDescent="0.35">
      <c r="A279" s="2">
        <v>44621</v>
      </c>
      <c r="B279" t="s">
        <v>64</v>
      </c>
      <c r="C279" t="s">
        <v>24</v>
      </c>
      <c r="D279">
        <v>0</v>
      </c>
      <c r="E279">
        <v>484</v>
      </c>
    </row>
    <row r="280" spans="1:5" x14ac:dyDescent="0.35">
      <c r="A280" s="2">
        <v>44652</v>
      </c>
      <c r="B280" t="s">
        <v>52</v>
      </c>
      <c r="C280" t="s">
        <v>21</v>
      </c>
      <c r="D280">
        <v>0</v>
      </c>
      <c r="E280">
        <v>407</v>
      </c>
    </row>
    <row r="281" spans="1:5" x14ac:dyDescent="0.35">
      <c r="A281" s="2">
        <v>44652</v>
      </c>
      <c r="B281" t="s">
        <v>53</v>
      </c>
      <c r="C281" t="s">
        <v>21</v>
      </c>
      <c r="D281">
        <v>0</v>
      </c>
      <c r="E281">
        <v>1063</v>
      </c>
    </row>
    <row r="282" spans="1:5" x14ac:dyDescent="0.35">
      <c r="A282" s="2">
        <v>44652</v>
      </c>
      <c r="B282" t="s">
        <v>53</v>
      </c>
      <c r="C282" t="s">
        <v>24</v>
      </c>
      <c r="D282">
        <v>0</v>
      </c>
      <c r="E282">
        <v>824</v>
      </c>
    </row>
    <row r="283" spans="1:5" x14ac:dyDescent="0.35">
      <c r="A283" s="2">
        <v>44652</v>
      </c>
      <c r="B283" t="s">
        <v>58</v>
      </c>
      <c r="C283" t="s">
        <v>21</v>
      </c>
      <c r="D283">
        <v>0</v>
      </c>
      <c r="E283">
        <v>351</v>
      </c>
    </row>
    <row r="284" spans="1:5" x14ac:dyDescent="0.35">
      <c r="A284" s="2">
        <v>44652</v>
      </c>
      <c r="B284" t="s">
        <v>58</v>
      </c>
      <c r="C284" t="s">
        <v>24</v>
      </c>
      <c r="D284">
        <v>0</v>
      </c>
      <c r="E284">
        <v>105</v>
      </c>
    </row>
    <row r="285" spans="1:5" x14ac:dyDescent="0.35">
      <c r="A285" s="2">
        <v>44652</v>
      </c>
      <c r="B285" t="s">
        <v>61</v>
      </c>
      <c r="C285" t="s">
        <v>21</v>
      </c>
      <c r="D285">
        <v>0</v>
      </c>
      <c r="E285">
        <v>1530</v>
      </c>
    </row>
    <row r="286" spans="1:5" x14ac:dyDescent="0.35">
      <c r="A286" s="2">
        <v>44652</v>
      </c>
      <c r="B286" t="s">
        <v>61</v>
      </c>
      <c r="C286" t="s">
        <v>24</v>
      </c>
      <c r="D286">
        <v>0</v>
      </c>
      <c r="E286">
        <v>323</v>
      </c>
    </row>
    <row r="287" spans="1:5" x14ac:dyDescent="0.35">
      <c r="A287" s="2">
        <v>44652</v>
      </c>
      <c r="B287" t="s">
        <v>62</v>
      </c>
      <c r="C287" t="s">
        <v>24</v>
      </c>
      <c r="D287">
        <v>0</v>
      </c>
      <c r="E287">
        <v>723</v>
      </c>
    </row>
    <row r="288" spans="1:5" x14ac:dyDescent="0.35">
      <c r="A288" s="2">
        <v>44652</v>
      </c>
      <c r="B288" t="s">
        <v>64</v>
      </c>
      <c r="C288" t="s">
        <v>24</v>
      </c>
      <c r="D288">
        <v>0</v>
      </c>
      <c r="E288">
        <v>448</v>
      </c>
    </row>
    <row r="289" spans="1:5" x14ac:dyDescent="0.35">
      <c r="A289" s="2">
        <v>44682</v>
      </c>
      <c r="B289" t="s">
        <v>52</v>
      </c>
      <c r="C289" t="s">
        <v>21</v>
      </c>
      <c r="D289">
        <v>0</v>
      </c>
      <c r="E289">
        <v>358</v>
      </c>
    </row>
    <row r="290" spans="1:5" x14ac:dyDescent="0.35">
      <c r="A290" s="2">
        <v>44682</v>
      </c>
      <c r="B290" t="s">
        <v>52</v>
      </c>
      <c r="C290" t="s">
        <v>24</v>
      </c>
      <c r="D290">
        <v>0</v>
      </c>
      <c r="E290">
        <v>110</v>
      </c>
    </row>
    <row r="291" spans="1:5" x14ac:dyDescent="0.35">
      <c r="A291" s="2">
        <v>44682</v>
      </c>
      <c r="B291" t="s">
        <v>53</v>
      </c>
      <c r="C291" t="s">
        <v>21</v>
      </c>
      <c r="D291">
        <v>0</v>
      </c>
      <c r="E291">
        <v>1241</v>
      </c>
    </row>
    <row r="292" spans="1:5" x14ac:dyDescent="0.35">
      <c r="A292" s="2">
        <v>44682</v>
      </c>
      <c r="B292" t="s">
        <v>53</v>
      </c>
      <c r="C292" t="s">
        <v>24</v>
      </c>
      <c r="D292">
        <v>0</v>
      </c>
      <c r="E292">
        <v>965</v>
      </c>
    </row>
    <row r="293" spans="1:5" x14ac:dyDescent="0.35">
      <c r="A293" s="2">
        <v>44682</v>
      </c>
      <c r="B293" t="s">
        <v>58</v>
      </c>
      <c r="C293" t="s">
        <v>21</v>
      </c>
      <c r="D293">
        <v>0</v>
      </c>
      <c r="E293">
        <v>419</v>
      </c>
    </row>
    <row r="294" spans="1:5" x14ac:dyDescent="0.35">
      <c r="A294" s="2">
        <v>44682</v>
      </c>
      <c r="B294" t="s">
        <v>58</v>
      </c>
      <c r="C294" t="s">
        <v>24</v>
      </c>
      <c r="D294">
        <v>0</v>
      </c>
      <c r="E294">
        <v>322</v>
      </c>
    </row>
    <row r="295" spans="1:5" x14ac:dyDescent="0.35">
      <c r="A295" s="2">
        <v>44682</v>
      </c>
      <c r="B295" t="s">
        <v>59</v>
      </c>
      <c r="C295" t="s">
        <v>24</v>
      </c>
      <c r="D295">
        <v>0</v>
      </c>
      <c r="E295">
        <v>644</v>
      </c>
    </row>
    <row r="296" spans="1:5" x14ac:dyDescent="0.35">
      <c r="A296" s="2">
        <v>44682</v>
      </c>
      <c r="B296" t="s">
        <v>60</v>
      </c>
      <c r="C296" t="s">
        <v>21</v>
      </c>
      <c r="D296">
        <v>0</v>
      </c>
      <c r="E296">
        <v>1780</v>
      </c>
    </row>
    <row r="297" spans="1:5" x14ac:dyDescent="0.35">
      <c r="A297" s="2">
        <v>44682</v>
      </c>
      <c r="B297" t="s">
        <v>61</v>
      </c>
      <c r="C297" t="s">
        <v>24</v>
      </c>
      <c r="D297">
        <v>0</v>
      </c>
      <c r="E297">
        <v>397</v>
      </c>
    </row>
    <row r="298" spans="1:5" x14ac:dyDescent="0.35">
      <c r="A298" s="2">
        <v>44682</v>
      </c>
      <c r="B298" t="s">
        <v>62</v>
      </c>
      <c r="C298" t="s">
        <v>24</v>
      </c>
      <c r="D298">
        <v>0</v>
      </c>
      <c r="E298">
        <v>630</v>
      </c>
    </row>
    <row r="299" spans="1:5" x14ac:dyDescent="0.35">
      <c r="A299" s="2">
        <v>44682</v>
      </c>
      <c r="B299" t="s">
        <v>64</v>
      </c>
      <c r="C299" t="s">
        <v>24</v>
      </c>
      <c r="D299">
        <v>0</v>
      </c>
      <c r="E299">
        <v>359</v>
      </c>
    </row>
    <row r="300" spans="1:5" x14ac:dyDescent="0.35">
      <c r="A300" s="2">
        <v>44713</v>
      </c>
      <c r="B300" t="s">
        <v>52</v>
      </c>
      <c r="C300" t="s">
        <v>21</v>
      </c>
      <c r="D300">
        <v>0</v>
      </c>
      <c r="E300">
        <v>423</v>
      </c>
    </row>
    <row r="301" spans="1:5" x14ac:dyDescent="0.35">
      <c r="A301" s="2">
        <v>44713</v>
      </c>
      <c r="B301" t="s">
        <v>52</v>
      </c>
      <c r="C301" t="s">
        <v>24</v>
      </c>
      <c r="D301">
        <v>0</v>
      </c>
      <c r="E301">
        <v>115</v>
      </c>
    </row>
    <row r="302" spans="1:5" x14ac:dyDescent="0.35">
      <c r="A302" s="2">
        <v>44713</v>
      </c>
      <c r="B302" t="s">
        <v>53</v>
      </c>
      <c r="C302" t="s">
        <v>21</v>
      </c>
      <c r="D302">
        <v>0</v>
      </c>
      <c r="E302">
        <v>1253</v>
      </c>
    </row>
    <row r="303" spans="1:5" x14ac:dyDescent="0.35">
      <c r="A303" s="2">
        <v>44713</v>
      </c>
      <c r="B303" t="s">
        <v>53</v>
      </c>
      <c r="C303" t="s">
        <v>24</v>
      </c>
      <c r="D303">
        <v>0</v>
      </c>
      <c r="E303">
        <v>1021</v>
      </c>
    </row>
    <row r="304" spans="1:5" x14ac:dyDescent="0.35">
      <c r="A304" s="2">
        <v>44713</v>
      </c>
      <c r="B304" t="s">
        <v>58</v>
      </c>
      <c r="C304" t="s">
        <v>24</v>
      </c>
      <c r="D304">
        <v>0</v>
      </c>
      <c r="E304">
        <v>310</v>
      </c>
    </row>
    <row r="305" spans="1:5" x14ac:dyDescent="0.35">
      <c r="A305" s="2">
        <v>44713</v>
      </c>
      <c r="B305" t="s">
        <v>59</v>
      </c>
      <c r="C305" t="s">
        <v>24</v>
      </c>
      <c r="D305">
        <v>0</v>
      </c>
      <c r="E305">
        <v>1029</v>
      </c>
    </row>
    <row r="306" spans="1:5" x14ac:dyDescent="0.35">
      <c r="A306" s="2">
        <v>44713</v>
      </c>
      <c r="B306" t="s">
        <v>61</v>
      </c>
      <c r="C306" t="s">
        <v>24</v>
      </c>
      <c r="D306">
        <v>0</v>
      </c>
      <c r="E306">
        <v>373</v>
      </c>
    </row>
    <row r="307" spans="1:5" x14ac:dyDescent="0.35">
      <c r="A307" s="2">
        <v>44713</v>
      </c>
      <c r="B307" t="s">
        <v>62</v>
      </c>
      <c r="C307" t="s">
        <v>21</v>
      </c>
      <c r="D307">
        <v>0</v>
      </c>
      <c r="E307">
        <v>594</v>
      </c>
    </row>
    <row r="308" spans="1:5" x14ac:dyDescent="0.35">
      <c r="A308" s="2">
        <v>44713</v>
      </c>
      <c r="B308" t="s">
        <v>62</v>
      </c>
      <c r="C308" t="s">
        <v>24</v>
      </c>
      <c r="D308">
        <v>0</v>
      </c>
      <c r="E308">
        <v>735</v>
      </c>
    </row>
    <row r="309" spans="1:5" x14ac:dyDescent="0.35">
      <c r="A309" s="2">
        <v>44713</v>
      </c>
      <c r="B309" t="s">
        <v>64</v>
      </c>
      <c r="C309" t="s">
        <v>24</v>
      </c>
      <c r="D309">
        <v>0</v>
      </c>
      <c r="E309">
        <v>354</v>
      </c>
    </row>
    <row r="310" spans="1:5" x14ac:dyDescent="0.35">
      <c r="A310" s="2">
        <v>44743</v>
      </c>
      <c r="B310" t="s">
        <v>52</v>
      </c>
      <c r="C310" t="s">
        <v>21</v>
      </c>
      <c r="D310">
        <v>0</v>
      </c>
      <c r="E310">
        <v>385</v>
      </c>
    </row>
    <row r="311" spans="1:5" x14ac:dyDescent="0.35">
      <c r="A311" s="2">
        <v>44743</v>
      </c>
      <c r="B311" t="s">
        <v>52</v>
      </c>
      <c r="C311" t="s">
        <v>24</v>
      </c>
      <c r="D311">
        <v>0</v>
      </c>
      <c r="E311">
        <v>127</v>
      </c>
    </row>
    <row r="312" spans="1:5" x14ac:dyDescent="0.35">
      <c r="A312" s="2">
        <v>44743</v>
      </c>
      <c r="B312" t="s">
        <v>53</v>
      </c>
      <c r="C312" t="s">
        <v>21</v>
      </c>
      <c r="D312">
        <v>0</v>
      </c>
      <c r="E312">
        <v>1181</v>
      </c>
    </row>
    <row r="313" spans="1:5" x14ac:dyDescent="0.35">
      <c r="A313" s="2">
        <v>44743</v>
      </c>
      <c r="B313" t="s">
        <v>56</v>
      </c>
      <c r="C313" t="s">
        <v>24</v>
      </c>
      <c r="D313">
        <v>0</v>
      </c>
      <c r="E313">
        <v>344</v>
      </c>
    </row>
    <row r="314" spans="1:5" x14ac:dyDescent="0.35">
      <c r="A314" s="2">
        <v>44743</v>
      </c>
      <c r="B314" t="s">
        <v>58</v>
      </c>
      <c r="C314" t="s">
        <v>21</v>
      </c>
      <c r="D314">
        <v>0</v>
      </c>
      <c r="E314">
        <v>314</v>
      </c>
    </row>
    <row r="315" spans="1:5" x14ac:dyDescent="0.35">
      <c r="A315" s="2">
        <v>44743</v>
      </c>
      <c r="B315" t="s">
        <v>59</v>
      </c>
      <c r="C315" t="s">
        <v>24</v>
      </c>
      <c r="D315">
        <v>0</v>
      </c>
      <c r="E315">
        <v>775</v>
      </c>
    </row>
    <row r="316" spans="1:5" x14ac:dyDescent="0.35">
      <c r="A316" s="2">
        <v>44743</v>
      </c>
      <c r="B316" t="s">
        <v>61</v>
      </c>
      <c r="C316" t="s">
        <v>24</v>
      </c>
      <c r="D316">
        <v>0</v>
      </c>
      <c r="E316">
        <v>319</v>
      </c>
    </row>
    <row r="317" spans="1:5" x14ac:dyDescent="0.35">
      <c r="A317" s="2">
        <v>44743</v>
      </c>
      <c r="B317" t="s">
        <v>62</v>
      </c>
      <c r="C317" t="s">
        <v>21</v>
      </c>
      <c r="D317">
        <v>0</v>
      </c>
      <c r="E317">
        <v>505</v>
      </c>
    </row>
    <row r="318" spans="1:5" x14ac:dyDescent="0.35">
      <c r="A318" s="2">
        <v>44743</v>
      </c>
      <c r="B318" t="s">
        <v>62</v>
      </c>
      <c r="C318" t="s">
        <v>24</v>
      </c>
      <c r="D318">
        <v>0</v>
      </c>
      <c r="E318">
        <v>591</v>
      </c>
    </row>
    <row r="319" spans="1:5" x14ac:dyDescent="0.35">
      <c r="A319" s="2">
        <v>44743</v>
      </c>
      <c r="B319" t="s">
        <v>64</v>
      </c>
      <c r="C319" t="s">
        <v>24</v>
      </c>
      <c r="D319">
        <v>0</v>
      </c>
      <c r="E319">
        <v>402</v>
      </c>
    </row>
    <row r="320" spans="1:5" x14ac:dyDescent="0.35">
      <c r="A320" s="2">
        <v>44774</v>
      </c>
      <c r="B320" t="s">
        <v>52</v>
      </c>
      <c r="C320" t="s">
        <v>21</v>
      </c>
      <c r="D320">
        <v>0</v>
      </c>
      <c r="E320">
        <v>398</v>
      </c>
    </row>
    <row r="321" spans="1:5" x14ac:dyDescent="0.35">
      <c r="A321" s="2">
        <v>44774</v>
      </c>
      <c r="B321" t="s">
        <v>52</v>
      </c>
      <c r="C321" t="s">
        <v>24</v>
      </c>
      <c r="D321">
        <v>0</v>
      </c>
      <c r="E321">
        <v>154</v>
      </c>
    </row>
    <row r="322" spans="1:5" x14ac:dyDescent="0.35">
      <c r="A322" s="2">
        <v>44774</v>
      </c>
      <c r="B322" t="s">
        <v>53</v>
      </c>
      <c r="C322" t="s">
        <v>21</v>
      </c>
      <c r="D322">
        <v>0</v>
      </c>
      <c r="E322">
        <v>1244</v>
      </c>
    </row>
    <row r="323" spans="1:5" x14ac:dyDescent="0.35">
      <c r="A323" s="2">
        <v>44774</v>
      </c>
      <c r="B323" t="s">
        <v>53</v>
      </c>
      <c r="C323" t="s">
        <v>24</v>
      </c>
      <c r="D323">
        <v>0</v>
      </c>
      <c r="E323">
        <v>866</v>
      </c>
    </row>
    <row r="324" spans="1:5" x14ac:dyDescent="0.35">
      <c r="A324" s="2">
        <v>44774</v>
      </c>
      <c r="B324" t="s">
        <v>58</v>
      </c>
      <c r="C324" t="s">
        <v>21</v>
      </c>
      <c r="D324">
        <v>0</v>
      </c>
      <c r="E324">
        <v>222</v>
      </c>
    </row>
    <row r="325" spans="1:5" x14ac:dyDescent="0.35">
      <c r="A325" s="2">
        <v>44774</v>
      </c>
      <c r="B325" t="s">
        <v>59</v>
      </c>
      <c r="C325" t="s">
        <v>24</v>
      </c>
      <c r="D325">
        <v>0</v>
      </c>
      <c r="E325">
        <v>623</v>
      </c>
    </row>
    <row r="326" spans="1:5" x14ac:dyDescent="0.35">
      <c r="A326" s="2">
        <v>44774</v>
      </c>
      <c r="B326" t="s">
        <v>60</v>
      </c>
      <c r="C326" t="s">
        <v>24</v>
      </c>
      <c r="D326">
        <v>0</v>
      </c>
      <c r="E326">
        <v>1120</v>
      </c>
    </row>
    <row r="327" spans="1:5" x14ac:dyDescent="0.35">
      <c r="A327" s="2">
        <v>44774</v>
      </c>
      <c r="B327" t="s">
        <v>61</v>
      </c>
      <c r="C327" t="s">
        <v>24</v>
      </c>
      <c r="D327">
        <v>0</v>
      </c>
      <c r="E327">
        <v>408</v>
      </c>
    </row>
    <row r="328" spans="1:5" x14ac:dyDescent="0.35">
      <c r="A328" s="2">
        <v>44774</v>
      </c>
      <c r="B328" t="s">
        <v>62</v>
      </c>
      <c r="C328" t="s">
        <v>21</v>
      </c>
      <c r="D328">
        <v>0</v>
      </c>
      <c r="E328">
        <v>554</v>
      </c>
    </row>
    <row r="329" spans="1:5" x14ac:dyDescent="0.35">
      <c r="A329" s="2">
        <v>44774</v>
      </c>
      <c r="B329" t="s">
        <v>62</v>
      </c>
      <c r="C329" t="s">
        <v>24</v>
      </c>
      <c r="D329">
        <v>0</v>
      </c>
      <c r="E329">
        <v>844</v>
      </c>
    </row>
    <row r="330" spans="1:5" x14ac:dyDescent="0.35">
      <c r="A330" s="2">
        <v>44774</v>
      </c>
      <c r="B330" t="s">
        <v>64</v>
      </c>
      <c r="C330" t="s">
        <v>24</v>
      </c>
      <c r="D330">
        <v>0</v>
      </c>
      <c r="E330">
        <v>403</v>
      </c>
    </row>
    <row r="331" spans="1:5" x14ac:dyDescent="0.35">
      <c r="A331" s="2">
        <v>44805</v>
      </c>
      <c r="B331" t="s">
        <v>52</v>
      </c>
      <c r="C331" t="s">
        <v>21</v>
      </c>
      <c r="D331">
        <v>0</v>
      </c>
      <c r="E331">
        <v>484</v>
      </c>
    </row>
    <row r="332" spans="1:5" x14ac:dyDescent="0.35">
      <c r="A332" s="2">
        <v>44805</v>
      </c>
      <c r="B332" t="s">
        <v>52</v>
      </c>
      <c r="C332" t="s">
        <v>24</v>
      </c>
      <c r="D332">
        <v>0</v>
      </c>
      <c r="E332">
        <v>128</v>
      </c>
    </row>
    <row r="333" spans="1:5" x14ac:dyDescent="0.35">
      <c r="A333" s="2">
        <v>44805</v>
      </c>
      <c r="B333" t="s">
        <v>53</v>
      </c>
      <c r="C333" t="s">
        <v>21</v>
      </c>
      <c r="D333">
        <v>0</v>
      </c>
      <c r="E333">
        <v>1068</v>
      </c>
    </row>
    <row r="334" spans="1:5" x14ac:dyDescent="0.35">
      <c r="A334" s="2">
        <v>44805</v>
      </c>
      <c r="B334" t="s">
        <v>53</v>
      </c>
      <c r="C334" t="s">
        <v>24</v>
      </c>
      <c r="D334">
        <v>0</v>
      </c>
      <c r="E334">
        <v>931</v>
      </c>
    </row>
    <row r="335" spans="1:5" x14ac:dyDescent="0.35">
      <c r="A335" s="2">
        <v>44805</v>
      </c>
      <c r="B335" t="s">
        <v>58</v>
      </c>
      <c r="C335" t="s">
        <v>21</v>
      </c>
      <c r="D335">
        <v>0</v>
      </c>
      <c r="E335">
        <v>30</v>
      </c>
    </row>
    <row r="336" spans="1:5" x14ac:dyDescent="0.35">
      <c r="A336" s="2">
        <v>44805</v>
      </c>
      <c r="B336" t="s">
        <v>58</v>
      </c>
      <c r="C336" t="s">
        <v>24</v>
      </c>
      <c r="D336">
        <v>0</v>
      </c>
      <c r="E336">
        <v>189</v>
      </c>
    </row>
    <row r="337" spans="1:5" x14ac:dyDescent="0.35">
      <c r="A337" s="2">
        <v>44805</v>
      </c>
      <c r="B337" t="s">
        <v>59</v>
      </c>
      <c r="C337" t="s">
        <v>24</v>
      </c>
      <c r="D337">
        <v>0</v>
      </c>
      <c r="E337">
        <v>820</v>
      </c>
    </row>
    <row r="338" spans="1:5" x14ac:dyDescent="0.35">
      <c r="A338" s="2">
        <v>44805</v>
      </c>
      <c r="B338" t="s">
        <v>61</v>
      </c>
      <c r="C338" t="s">
        <v>24</v>
      </c>
      <c r="D338">
        <v>0</v>
      </c>
      <c r="E338">
        <v>379</v>
      </c>
    </row>
    <row r="339" spans="1:5" x14ac:dyDescent="0.35">
      <c r="A339" s="2">
        <v>44805</v>
      </c>
      <c r="B339" t="s">
        <v>62</v>
      </c>
      <c r="C339" t="s">
        <v>21</v>
      </c>
      <c r="D339">
        <v>0</v>
      </c>
      <c r="E339">
        <v>589</v>
      </c>
    </row>
    <row r="340" spans="1:5" x14ac:dyDescent="0.35">
      <c r="A340" s="2">
        <v>44805</v>
      </c>
      <c r="B340" t="s">
        <v>62</v>
      </c>
      <c r="C340" t="s">
        <v>24</v>
      </c>
      <c r="D340">
        <v>0</v>
      </c>
      <c r="E340">
        <v>780</v>
      </c>
    </row>
    <row r="341" spans="1:5" x14ac:dyDescent="0.35">
      <c r="A341" s="2">
        <v>44805</v>
      </c>
      <c r="B341" t="s">
        <v>64</v>
      </c>
      <c r="C341" t="s">
        <v>24</v>
      </c>
      <c r="D341">
        <v>0</v>
      </c>
      <c r="E341">
        <v>465</v>
      </c>
    </row>
    <row r="342" spans="1:5" x14ac:dyDescent="0.35">
      <c r="A342" s="2">
        <v>44835</v>
      </c>
      <c r="B342" t="s">
        <v>52</v>
      </c>
      <c r="C342" t="s">
        <v>21</v>
      </c>
      <c r="D342">
        <v>0</v>
      </c>
      <c r="E342">
        <v>409</v>
      </c>
    </row>
    <row r="343" spans="1:5" x14ac:dyDescent="0.35">
      <c r="A343" s="2">
        <v>44835</v>
      </c>
      <c r="B343" t="s">
        <v>52</v>
      </c>
      <c r="C343" t="s">
        <v>24</v>
      </c>
      <c r="D343">
        <v>0</v>
      </c>
      <c r="E343">
        <v>144</v>
      </c>
    </row>
    <row r="344" spans="1:5" x14ac:dyDescent="0.35">
      <c r="A344" s="2">
        <v>44835</v>
      </c>
      <c r="B344" t="s">
        <v>53</v>
      </c>
      <c r="C344" t="s">
        <v>21</v>
      </c>
      <c r="D344">
        <v>0</v>
      </c>
      <c r="E344">
        <v>850</v>
      </c>
    </row>
    <row r="345" spans="1:5" x14ac:dyDescent="0.35">
      <c r="A345" s="2">
        <v>44835</v>
      </c>
      <c r="B345" t="s">
        <v>53</v>
      </c>
      <c r="C345" t="s">
        <v>24</v>
      </c>
      <c r="D345">
        <v>0</v>
      </c>
      <c r="E345">
        <v>741</v>
      </c>
    </row>
    <row r="346" spans="1:5" x14ac:dyDescent="0.35">
      <c r="A346" s="2">
        <v>44835</v>
      </c>
      <c r="B346" t="s">
        <v>58</v>
      </c>
      <c r="C346" t="s">
        <v>21</v>
      </c>
      <c r="D346">
        <v>0</v>
      </c>
      <c r="E346">
        <v>27</v>
      </c>
    </row>
    <row r="347" spans="1:5" x14ac:dyDescent="0.35">
      <c r="A347" s="2">
        <v>44835</v>
      </c>
      <c r="B347" t="s">
        <v>58</v>
      </c>
      <c r="C347" t="s">
        <v>24</v>
      </c>
      <c r="D347">
        <v>0</v>
      </c>
      <c r="E347">
        <v>264</v>
      </c>
    </row>
    <row r="348" spans="1:5" x14ac:dyDescent="0.35">
      <c r="A348" s="2">
        <v>44835</v>
      </c>
      <c r="B348" t="s">
        <v>59</v>
      </c>
      <c r="C348" t="s">
        <v>24</v>
      </c>
      <c r="D348">
        <v>0</v>
      </c>
      <c r="E348">
        <v>596</v>
      </c>
    </row>
    <row r="349" spans="1:5" x14ac:dyDescent="0.35">
      <c r="A349" s="2">
        <v>44835</v>
      </c>
      <c r="B349" t="s">
        <v>61</v>
      </c>
      <c r="C349" t="s">
        <v>24</v>
      </c>
      <c r="D349">
        <v>0</v>
      </c>
      <c r="E349">
        <v>362</v>
      </c>
    </row>
    <row r="350" spans="1:5" x14ac:dyDescent="0.35">
      <c r="A350" s="2">
        <v>44835</v>
      </c>
      <c r="B350" t="s">
        <v>62</v>
      </c>
      <c r="C350" t="s">
        <v>21</v>
      </c>
      <c r="D350">
        <v>0</v>
      </c>
      <c r="E350">
        <v>374</v>
      </c>
    </row>
    <row r="351" spans="1:5" x14ac:dyDescent="0.35">
      <c r="A351" s="2">
        <v>44835</v>
      </c>
      <c r="B351" t="s">
        <v>62</v>
      </c>
      <c r="C351" t="s">
        <v>24</v>
      </c>
      <c r="D351">
        <v>0</v>
      </c>
      <c r="E351">
        <v>690</v>
      </c>
    </row>
    <row r="352" spans="1:5" x14ac:dyDescent="0.35">
      <c r="A352" s="2">
        <v>44835</v>
      </c>
      <c r="B352" t="s">
        <v>64</v>
      </c>
      <c r="C352" t="s">
        <v>24</v>
      </c>
      <c r="D352">
        <v>0</v>
      </c>
      <c r="E352">
        <v>416</v>
      </c>
    </row>
    <row r="353" spans="1:5" x14ac:dyDescent="0.35">
      <c r="A353" s="2">
        <v>44866</v>
      </c>
      <c r="B353" t="s">
        <v>53</v>
      </c>
      <c r="C353" t="s">
        <v>21</v>
      </c>
      <c r="D353">
        <v>0</v>
      </c>
      <c r="E353">
        <v>1251</v>
      </c>
    </row>
    <row r="354" spans="1:5" x14ac:dyDescent="0.35">
      <c r="A354" s="2">
        <v>44866</v>
      </c>
      <c r="B354" t="s">
        <v>53</v>
      </c>
      <c r="C354" t="s">
        <v>24</v>
      </c>
      <c r="D354">
        <v>0</v>
      </c>
      <c r="E354">
        <v>971</v>
      </c>
    </row>
    <row r="355" spans="1:5" x14ac:dyDescent="0.35">
      <c r="A355" s="2">
        <v>44866</v>
      </c>
      <c r="B355" t="s">
        <v>57</v>
      </c>
      <c r="C355" t="s">
        <v>24</v>
      </c>
      <c r="D355">
        <v>0</v>
      </c>
      <c r="E355">
        <v>4102</v>
      </c>
    </row>
    <row r="356" spans="1:5" x14ac:dyDescent="0.35">
      <c r="A356" s="2">
        <v>44866</v>
      </c>
      <c r="B356" t="s">
        <v>58</v>
      </c>
      <c r="C356" t="s">
        <v>21</v>
      </c>
      <c r="D356">
        <v>0</v>
      </c>
      <c r="E356">
        <v>23</v>
      </c>
    </row>
    <row r="357" spans="1:5" x14ac:dyDescent="0.35">
      <c r="A357" s="2">
        <v>44866</v>
      </c>
      <c r="B357" t="s">
        <v>58</v>
      </c>
      <c r="C357" t="s">
        <v>24</v>
      </c>
      <c r="D357">
        <v>0</v>
      </c>
      <c r="E357">
        <v>244</v>
      </c>
    </row>
    <row r="358" spans="1:5" x14ac:dyDescent="0.35">
      <c r="A358" s="2">
        <v>44866</v>
      </c>
      <c r="B358" t="s">
        <v>59</v>
      </c>
      <c r="C358" t="s">
        <v>24</v>
      </c>
      <c r="D358">
        <v>0</v>
      </c>
      <c r="E358">
        <v>1569</v>
      </c>
    </row>
    <row r="359" spans="1:5" x14ac:dyDescent="0.35">
      <c r="A359" s="2">
        <v>44866</v>
      </c>
      <c r="B359" t="s">
        <v>60</v>
      </c>
      <c r="C359" t="s">
        <v>24</v>
      </c>
      <c r="D359">
        <v>0</v>
      </c>
      <c r="E359">
        <v>1158</v>
      </c>
    </row>
    <row r="360" spans="1:5" x14ac:dyDescent="0.35">
      <c r="A360" s="2">
        <v>44866</v>
      </c>
      <c r="B360" t="s">
        <v>61</v>
      </c>
      <c r="C360" t="s">
        <v>24</v>
      </c>
      <c r="D360">
        <v>0</v>
      </c>
      <c r="E360">
        <v>378</v>
      </c>
    </row>
    <row r="361" spans="1:5" x14ac:dyDescent="0.35">
      <c r="A361" s="2">
        <v>44866</v>
      </c>
      <c r="B361" t="s">
        <v>62</v>
      </c>
      <c r="C361" t="s">
        <v>21</v>
      </c>
      <c r="D361">
        <v>0</v>
      </c>
      <c r="E361">
        <v>447</v>
      </c>
    </row>
    <row r="362" spans="1:5" x14ac:dyDescent="0.35">
      <c r="A362" s="2">
        <v>44866</v>
      </c>
      <c r="B362" t="s">
        <v>62</v>
      </c>
      <c r="C362" t="s">
        <v>24</v>
      </c>
      <c r="D362">
        <v>0</v>
      </c>
      <c r="E362">
        <v>724</v>
      </c>
    </row>
    <row r="363" spans="1:5" x14ac:dyDescent="0.35">
      <c r="A363" s="2">
        <v>44866</v>
      </c>
      <c r="B363" t="s">
        <v>70</v>
      </c>
      <c r="C363" t="s">
        <v>24</v>
      </c>
      <c r="D363">
        <v>0</v>
      </c>
      <c r="E363">
        <v>8875</v>
      </c>
    </row>
    <row r="364" spans="1:5" x14ac:dyDescent="0.35">
      <c r="A364" s="2">
        <v>44866</v>
      </c>
      <c r="B364" t="s">
        <v>64</v>
      </c>
      <c r="C364" t="s">
        <v>24</v>
      </c>
      <c r="D364">
        <v>0</v>
      </c>
      <c r="E364">
        <v>410</v>
      </c>
    </row>
    <row r="365" spans="1:5" x14ac:dyDescent="0.35">
      <c r="A365" s="2">
        <v>44896</v>
      </c>
      <c r="B365" t="s">
        <v>53</v>
      </c>
      <c r="C365" t="s">
        <v>24</v>
      </c>
      <c r="D365">
        <v>0</v>
      </c>
      <c r="E365">
        <v>865</v>
      </c>
    </row>
    <row r="366" spans="1:5" x14ac:dyDescent="0.35">
      <c r="A366" s="2">
        <v>44896</v>
      </c>
      <c r="B366" t="s">
        <v>58</v>
      </c>
      <c r="C366" t="s">
        <v>21</v>
      </c>
      <c r="D366">
        <v>0</v>
      </c>
      <c r="E366">
        <v>16</v>
      </c>
    </row>
    <row r="367" spans="1:5" x14ac:dyDescent="0.35">
      <c r="A367" s="2">
        <v>44896</v>
      </c>
      <c r="B367" t="s">
        <v>58</v>
      </c>
      <c r="C367" t="s">
        <v>24</v>
      </c>
      <c r="D367">
        <v>0</v>
      </c>
      <c r="E367">
        <v>144</v>
      </c>
    </row>
    <row r="368" spans="1:5" x14ac:dyDescent="0.35">
      <c r="A368" s="2">
        <v>44896</v>
      </c>
      <c r="B368" t="s">
        <v>59</v>
      </c>
      <c r="C368" t="s">
        <v>24</v>
      </c>
      <c r="D368">
        <v>0</v>
      </c>
      <c r="E368">
        <v>1478</v>
      </c>
    </row>
    <row r="369" spans="1:5" x14ac:dyDescent="0.35">
      <c r="A369" s="2">
        <v>44896</v>
      </c>
      <c r="B369" t="s">
        <v>60</v>
      </c>
      <c r="C369" t="s">
        <v>24</v>
      </c>
      <c r="D369">
        <v>0</v>
      </c>
      <c r="E369">
        <v>1150</v>
      </c>
    </row>
    <row r="370" spans="1:5" x14ac:dyDescent="0.35">
      <c r="A370" s="2">
        <v>44896</v>
      </c>
      <c r="B370" t="s">
        <v>61</v>
      </c>
      <c r="C370" t="s">
        <v>24</v>
      </c>
      <c r="D370">
        <v>0</v>
      </c>
      <c r="E370">
        <v>445</v>
      </c>
    </row>
    <row r="371" spans="1:5" x14ac:dyDescent="0.35">
      <c r="A371" s="2">
        <v>44896</v>
      </c>
      <c r="B371" t="s">
        <v>62</v>
      </c>
      <c r="C371" t="s">
        <v>21</v>
      </c>
      <c r="D371">
        <v>0</v>
      </c>
      <c r="E371">
        <v>369</v>
      </c>
    </row>
    <row r="372" spans="1:5" x14ac:dyDescent="0.35">
      <c r="A372" s="2">
        <v>44896</v>
      </c>
      <c r="B372" t="s">
        <v>62</v>
      </c>
      <c r="C372" t="s">
        <v>24</v>
      </c>
      <c r="D372">
        <v>0</v>
      </c>
      <c r="E372">
        <v>490</v>
      </c>
    </row>
    <row r="373" spans="1:5" x14ac:dyDescent="0.35">
      <c r="A373" s="2">
        <v>44896</v>
      </c>
      <c r="B373" t="s">
        <v>64</v>
      </c>
      <c r="C373" t="s">
        <v>24</v>
      </c>
      <c r="D373">
        <v>0</v>
      </c>
      <c r="E373">
        <v>385</v>
      </c>
    </row>
    <row r="374" spans="1:5" x14ac:dyDescent="0.35">
      <c r="A374" s="2">
        <v>44927</v>
      </c>
      <c r="B374" t="s">
        <v>52</v>
      </c>
      <c r="C374" t="s">
        <v>21</v>
      </c>
      <c r="D374">
        <v>0</v>
      </c>
      <c r="E374">
        <v>373</v>
      </c>
    </row>
    <row r="375" spans="1:5" x14ac:dyDescent="0.35">
      <c r="A375" s="2">
        <v>44927</v>
      </c>
      <c r="B375" t="s">
        <v>52</v>
      </c>
      <c r="C375" t="s">
        <v>24</v>
      </c>
      <c r="D375">
        <v>0</v>
      </c>
      <c r="E375">
        <v>153</v>
      </c>
    </row>
    <row r="376" spans="1:5" x14ac:dyDescent="0.35">
      <c r="A376" s="2">
        <v>44927</v>
      </c>
      <c r="B376" t="s">
        <v>53</v>
      </c>
      <c r="C376" t="s">
        <v>21</v>
      </c>
      <c r="D376">
        <v>0</v>
      </c>
      <c r="E376">
        <v>718</v>
      </c>
    </row>
    <row r="377" spans="1:5" x14ac:dyDescent="0.35">
      <c r="A377" s="2">
        <v>44927</v>
      </c>
      <c r="B377" t="s">
        <v>53</v>
      </c>
      <c r="C377" t="s">
        <v>24</v>
      </c>
      <c r="D377">
        <v>0</v>
      </c>
      <c r="E377">
        <v>966</v>
      </c>
    </row>
    <row r="378" spans="1:5" x14ac:dyDescent="0.35">
      <c r="A378" s="2">
        <v>44927</v>
      </c>
      <c r="B378" t="s">
        <v>58</v>
      </c>
      <c r="C378" t="s">
        <v>24</v>
      </c>
      <c r="D378">
        <v>0</v>
      </c>
      <c r="E378">
        <v>92</v>
      </c>
    </row>
    <row r="379" spans="1:5" x14ac:dyDescent="0.35">
      <c r="A379" s="2">
        <v>44927</v>
      </c>
      <c r="B379" t="s">
        <v>61</v>
      </c>
      <c r="C379" t="s">
        <v>24</v>
      </c>
      <c r="D379">
        <v>0</v>
      </c>
      <c r="E379">
        <v>476</v>
      </c>
    </row>
    <row r="380" spans="1:5" x14ac:dyDescent="0.35">
      <c r="A380" s="2">
        <v>44927</v>
      </c>
      <c r="B380" t="s">
        <v>62</v>
      </c>
      <c r="C380" t="s">
        <v>21</v>
      </c>
      <c r="D380">
        <v>0</v>
      </c>
      <c r="E380">
        <v>432</v>
      </c>
    </row>
    <row r="381" spans="1:5" x14ac:dyDescent="0.35">
      <c r="A381" s="2">
        <v>44927</v>
      </c>
      <c r="B381" t="s">
        <v>62</v>
      </c>
      <c r="C381" t="s">
        <v>24</v>
      </c>
      <c r="D381">
        <v>0</v>
      </c>
      <c r="E381">
        <v>545</v>
      </c>
    </row>
    <row r="382" spans="1:5" x14ac:dyDescent="0.35">
      <c r="A382" s="2">
        <v>44927</v>
      </c>
      <c r="B382" t="s">
        <v>70</v>
      </c>
      <c r="C382" t="s">
        <v>24</v>
      </c>
      <c r="D382">
        <v>0</v>
      </c>
      <c r="E382">
        <v>11608</v>
      </c>
    </row>
    <row r="383" spans="1:5" x14ac:dyDescent="0.35">
      <c r="A383" s="2">
        <v>44927</v>
      </c>
      <c r="B383" t="s">
        <v>64</v>
      </c>
      <c r="C383" t="s">
        <v>24</v>
      </c>
      <c r="D383">
        <v>0</v>
      </c>
      <c r="E383">
        <v>399</v>
      </c>
    </row>
    <row r="384" spans="1:5" x14ac:dyDescent="0.35">
      <c r="A384" s="2">
        <v>44958</v>
      </c>
      <c r="B384" t="s">
        <v>52</v>
      </c>
      <c r="C384" t="s">
        <v>21</v>
      </c>
      <c r="D384">
        <v>0</v>
      </c>
      <c r="E384">
        <v>346</v>
      </c>
    </row>
    <row r="385" spans="1:5" x14ac:dyDescent="0.35">
      <c r="A385" s="2">
        <v>44958</v>
      </c>
      <c r="B385" t="s">
        <v>52</v>
      </c>
      <c r="C385" t="s">
        <v>24</v>
      </c>
      <c r="D385">
        <v>0</v>
      </c>
      <c r="E385">
        <v>148</v>
      </c>
    </row>
    <row r="386" spans="1:5" x14ac:dyDescent="0.35">
      <c r="A386" s="2">
        <v>44958</v>
      </c>
      <c r="B386" t="s">
        <v>53</v>
      </c>
      <c r="C386" t="s">
        <v>21</v>
      </c>
      <c r="D386">
        <v>0</v>
      </c>
      <c r="E386">
        <v>816</v>
      </c>
    </row>
    <row r="387" spans="1:5" x14ac:dyDescent="0.35">
      <c r="A387" s="2">
        <v>44958</v>
      </c>
      <c r="B387" t="s">
        <v>53</v>
      </c>
      <c r="C387" t="s">
        <v>24</v>
      </c>
      <c r="D387">
        <v>0</v>
      </c>
      <c r="E387">
        <v>840</v>
      </c>
    </row>
    <row r="388" spans="1:5" x14ac:dyDescent="0.35">
      <c r="A388" s="2">
        <v>44958</v>
      </c>
      <c r="B388" t="s">
        <v>58</v>
      </c>
      <c r="C388" t="s">
        <v>21</v>
      </c>
      <c r="D388">
        <v>0</v>
      </c>
      <c r="E388">
        <v>5</v>
      </c>
    </row>
    <row r="389" spans="1:5" x14ac:dyDescent="0.35">
      <c r="A389" s="2">
        <v>44958</v>
      </c>
      <c r="B389" t="s">
        <v>58</v>
      </c>
      <c r="C389" t="s">
        <v>24</v>
      </c>
      <c r="D389">
        <v>0</v>
      </c>
      <c r="E389">
        <v>49</v>
      </c>
    </row>
    <row r="390" spans="1:5" x14ac:dyDescent="0.35">
      <c r="A390" s="2">
        <v>44958</v>
      </c>
      <c r="B390" t="s">
        <v>60</v>
      </c>
      <c r="C390" t="s">
        <v>24</v>
      </c>
      <c r="D390">
        <v>0</v>
      </c>
      <c r="E390">
        <v>1002</v>
      </c>
    </row>
    <row r="391" spans="1:5" x14ac:dyDescent="0.35">
      <c r="A391" s="2">
        <v>44958</v>
      </c>
      <c r="B391" t="s">
        <v>61</v>
      </c>
      <c r="C391" t="s">
        <v>24</v>
      </c>
      <c r="D391">
        <v>0</v>
      </c>
      <c r="E391">
        <v>337</v>
      </c>
    </row>
    <row r="392" spans="1:5" x14ac:dyDescent="0.35">
      <c r="A392" s="2">
        <v>44958</v>
      </c>
      <c r="B392" t="s">
        <v>62</v>
      </c>
      <c r="C392" t="s">
        <v>21</v>
      </c>
      <c r="D392">
        <v>0</v>
      </c>
      <c r="E392">
        <v>375</v>
      </c>
    </row>
    <row r="393" spans="1:5" x14ac:dyDescent="0.35">
      <c r="A393" s="2">
        <v>44958</v>
      </c>
      <c r="B393" t="s">
        <v>62</v>
      </c>
      <c r="C393" t="s">
        <v>24</v>
      </c>
      <c r="D393">
        <v>0</v>
      </c>
      <c r="E393">
        <v>806</v>
      </c>
    </row>
    <row r="394" spans="1:5" x14ac:dyDescent="0.35">
      <c r="A394" s="2">
        <v>44958</v>
      </c>
      <c r="B394" t="s">
        <v>64</v>
      </c>
      <c r="C394" t="s">
        <v>24</v>
      </c>
      <c r="D394">
        <v>0</v>
      </c>
      <c r="E394">
        <v>328</v>
      </c>
    </row>
    <row r="395" spans="1:5" x14ac:dyDescent="0.35">
      <c r="A395" s="2">
        <v>44986</v>
      </c>
      <c r="B395" t="s">
        <v>53</v>
      </c>
      <c r="C395" t="s">
        <v>21</v>
      </c>
      <c r="D395">
        <v>0</v>
      </c>
      <c r="E395">
        <v>1131</v>
      </c>
    </row>
    <row r="396" spans="1:5" x14ac:dyDescent="0.35">
      <c r="A396" s="2">
        <v>44986</v>
      </c>
      <c r="B396" t="s">
        <v>53</v>
      </c>
      <c r="C396" t="s">
        <v>24</v>
      </c>
      <c r="D396">
        <v>0</v>
      </c>
      <c r="E396">
        <v>1048</v>
      </c>
    </row>
    <row r="397" spans="1:5" x14ac:dyDescent="0.35">
      <c r="A397" s="2">
        <v>44986</v>
      </c>
      <c r="B397" t="s">
        <v>58</v>
      </c>
      <c r="C397" t="s">
        <v>21</v>
      </c>
      <c r="D397">
        <v>0</v>
      </c>
      <c r="E397">
        <v>30</v>
      </c>
    </row>
    <row r="398" spans="1:5" x14ac:dyDescent="0.35">
      <c r="A398" s="2">
        <v>44986</v>
      </c>
      <c r="B398" t="s">
        <v>58</v>
      </c>
      <c r="C398" t="s">
        <v>24</v>
      </c>
      <c r="D398">
        <v>0</v>
      </c>
      <c r="E398">
        <v>59</v>
      </c>
    </row>
    <row r="399" spans="1:5" x14ac:dyDescent="0.35">
      <c r="A399" s="2">
        <v>44986</v>
      </c>
      <c r="B399" t="s">
        <v>59</v>
      </c>
      <c r="C399" t="s">
        <v>24</v>
      </c>
      <c r="D399">
        <v>0</v>
      </c>
      <c r="E399">
        <v>320</v>
      </c>
    </row>
    <row r="400" spans="1:5" x14ac:dyDescent="0.35">
      <c r="A400" s="2">
        <v>44986</v>
      </c>
      <c r="B400" t="s">
        <v>60</v>
      </c>
      <c r="C400" t="s">
        <v>24</v>
      </c>
      <c r="D400">
        <v>0</v>
      </c>
      <c r="E400">
        <v>1369</v>
      </c>
    </row>
    <row r="401" spans="1:5" x14ac:dyDescent="0.35">
      <c r="A401" s="2">
        <v>44986</v>
      </c>
      <c r="B401" t="s">
        <v>61</v>
      </c>
      <c r="C401" t="s">
        <v>24</v>
      </c>
      <c r="D401">
        <v>0</v>
      </c>
      <c r="E401">
        <v>433</v>
      </c>
    </row>
    <row r="402" spans="1:5" x14ac:dyDescent="0.35">
      <c r="A402" s="2">
        <v>44986</v>
      </c>
      <c r="B402" t="s">
        <v>62</v>
      </c>
      <c r="C402" t="s">
        <v>21</v>
      </c>
      <c r="D402">
        <v>0</v>
      </c>
      <c r="E402">
        <v>693</v>
      </c>
    </row>
    <row r="403" spans="1:5" x14ac:dyDescent="0.35">
      <c r="A403" s="2">
        <v>44986</v>
      </c>
      <c r="B403" t="s">
        <v>62</v>
      </c>
      <c r="C403" t="s">
        <v>24</v>
      </c>
      <c r="D403">
        <v>0</v>
      </c>
      <c r="E403">
        <v>820</v>
      </c>
    </row>
    <row r="404" spans="1:5" x14ac:dyDescent="0.35">
      <c r="A404" s="2">
        <v>45017</v>
      </c>
      <c r="B404" t="s">
        <v>52</v>
      </c>
      <c r="C404" t="s">
        <v>21</v>
      </c>
      <c r="D404">
        <v>0</v>
      </c>
      <c r="E404">
        <v>325</v>
      </c>
    </row>
    <row r="405" spans="1:5" x14ac:dyDescent="0.35">
      <c r="A405" s="2">
        <v>45017</v>
      </c>
      <c r="B405" t="s">
        <v>53</v>
      </c>
      <c r="C405" t="s">
        <v>21</v>
      </c>
      <c r="D405">
        <v>0</v>
      </c>
      <c r="E405">
        <v>971</v>
      </c>
    </row>
    <row r="406" spans="1:5" x14ac:dyDescent="0.35">
      <c r="A406" s="2">
        <v>45017</v>
      </c>
      <c r="B406" t="s">
        <v>58</v>
      </c>
      <c r="C406" t="s">
        <v>21</v>
      </c>
      <c r="D406">
        <v>0</v>
      </c>
      <c r="E406">
        <v>43</v>
      </c>
    </row>
    <row r="407" spans="1:5" x14ac:dyDescent="0.35">
      <c r="A407" s="2">
        <v>45017</v>
      </c>
      <c r="B407" t="s">
        <v>58</v>
      </c>
      <c r="C407" t="s">
        <v>24</v>
      </c>
      <c r="D407">
        <v>0</v>
      </c>
      <c r="E407">
        <v>219</v>
      </c>
    </row>
    <row r="408" spans="1:5" x14ac:dyDescent="0.35">
      <c r="A408" s="2">
        <v>45017</v>
      </c>
      <c r="B408" t="s">
        <v>59</v>
      </c>
      <c r="C408" t="s">
        <v>24</v>
      </c>
      <c r="D408">
        <v>0</v>
      </c>
      <c r="E408">
        <v>942</v>
      </c>
    </row>
    <row r="409" spans="1:5" x14ac:dyDescent="0.35">
      <c r="A409" s="2">
        <v>45017</v>
      </c>
      <c r="B409" t="s">
        <v>61</v>
      </c>
      <c r="C409" t="s">
        <v>24</v>
      </c>
      <c r="D409">
        <v>0</v>
      </c>
      <c r="E409">
        <v>336</v>
      </c>
    </row>
    <row r="410" spans="1:5" x14ac:dyDescent="0.35">
      <c r="A410" s="2">
        <v>45017</v>
      </c>
      <c r="B410" t="s">
        <v>62</v>
      </c>
      <c r="C410" t="s">
        <v>21</v>
      </c>
      <c r="D410">
        <v>0</v>
      </c>
      <c r="E410">
        <v>560</v>
      </c>
    </row>
    <row r="411" spans="1:5" x14ac:dyDescent="0.35">
      <c r="A411" s="2">
        <v>45047</v>
      </c>
      <c r="B411" t="s">
        <v>52</v>
      </c>
      <c r="C411" t="s">
        <v>21</v>
      </c>
      <c r="D411">
        <v>0</v>
      </c>
      <c r="E411">
        <v>436</v>
      </c>
    </row>
    <row r="412" spans="1:5" x14ac:dyDescent="0.35">
      <c r="A412" s="2">
        <v>45047</v>
      </c>
      <c r="B412" t="s">
        <v>52</v>
      </c>
      <c r="C412" t="s">
        <v>24</v>
      </c>
      <c r="D412">
        <v>0</v>
      </c>
      <c r="E412">
        <v>150</v>
      </c>
    </row>
    <row r="413" spans="1:5" x14ac:dyDescent="0.35">
      <c r="A413" s="2">
        <v>45047</v>
      </c>
      <c r="B413" t="s">
        <v>53</v>
      </c>
      <c r="C413" t="s">
        <v>24</v>
      </c>
      <c r="D413">
        <v>0</v>
      </c>
      <c r="E413">
        <v>1132</v>
      </c>
    </row>
    <row r="414" spans="1:5" x14ac:dyDescent="0.35">
      <c r="A414" s="2">
        <v>45047</v>
      </c>
      <c r="B414" t="s">
        <v>58</v>
      </c>
      <c r="C414" t="s">
        <v>24</v>
      </c>
      <c r="D414">
        <v>0</v>
      </c>
      <c r="E414">
        <v>364</v>
      </c>
    </row>
    <row r="415" spans="1:5" x14ac:dyDescent="0.35">
      <c r="A415" s="2">
        <v>45047</v>
      </c>
      <c r="B415" t="s">
        <v>61</v>
      </c>
      <c r="C415" t="s">
        <v>24</v>
      </c>
      <c r="D415">
        <v>0</v>
      </c>
      <c r="E415">
        <v>382</v>
      </c>
    </row>
    <row r="416" spans="1:5" x14ac:dyDescent="0.35">
      <c r="A416" s="2">
        <v>45047</v>
      </c>
      <c r="B416" t="s">
        <v>62</v>
      </c>
      <c r="C416" t="s">
        <v>21</v>
      </c>
      <c r="D416">
        <v>0</v>
      </c>
      <c r="E416">
        <v>610</v>
      </c>
    </row>
    <row r="417" spans="1:5" x14ac:dyDescent="0.35">
      <c r="A417" s="2">
        <v>45047</v>
      </c>
      <c r="B417" t="s">
        <v>62</v>
      </c>
      <c r="C417" t="s">
        <v>24</v>
      </c>
      <c r="D417">
        <v>0</v>
      </c>
      <c r="E417">
        <v>796</v>
      </c>
    </row>
    <row r="418" spans="1:5" x14ac:dyDescent="0.35">
      <c r="A418" s="2">
        <v>45078</v>
      </c>
      <c r="B418" t="s">
        <v>52</v>
      </c>
      <c r="C418" t="s">
        <v>21</v>
      </c>
      <c r="D418">
        <v>0</v>
      </c>
      <c r="E418">
        <v>373</v>
      </c>
    </row>
    <row r="419" spans="1:5" x14ac:dyDescent="0.35">
      <c r="A419" s="2">
        <v>45078</v>
      </c>
      <c r="B419" t="s">
        <v>53</v>
      </c>
      <c r="C419" t="s">
        <v>21</v>
      </c>
      <c r="D419">
        <v>0</v>
      </c>
      <c r="E419">
        <v>1141</v>
      </c>
    </row>
    <row r="420" spans="1:5" x14ac:dyDescent="0.35">
      <c r="A420" s="2">
        <v>45078</v>
      </c>
      <c r="B420" t="s">
        <v>53</v>
      </c>
      <c r="C420" t="s">
        <v>24</v>
      </c>
      <c r="D420">
        <v>0</v>
      </c>
      <c r="E420">
        <v>1089</v>
      </c>
    </row>
    <row r="421" spans="1:5" x14ac:dyDescent="0.35">
      <c r="A421" s="2">
        <v>45078</v>
      </c>
      <c r="B421" t="s">
        <v>58</v>
      </c>
      <c r="C421" t="s">
        <v>24</v>
      </c>
      <c r="D421">
        <v>0</v>
      </c>
      <c r="E421">
        <v>304</v>
      </c>
    </row>
    <row r="422" spans="1:5" x14ac:dyDescent="0.35">
      <c r="A422" s="2">
        <v>45078</v>
      </c>
      <c r="B422" t="s">
        <v>59</v>
      </c>
      <c r="C422" t="s">
        <v>24</v>
      </c>
      <c r="D422">
        <v>0</v>
      </c>
      <c r="E422">
        <v>220</v>
      </c>
    </row>
    <row r="423" spans="1:5" x14ac:dyDescent="0.35">
      <c r="A423" s="2">
        <v>45078</v>
      </c>
      <c r="B423" t="s">
        <v>61</v>
      </c>
      <c r="C423" t="s">
        <v>24</v>
      </c>
      <c r="D423">
        <v>0</v>
      </c>
      <c r="E423">
        <v>383</v>
      </c>
    </row>
    <row r="424" spans="1:5" x14ac:dyDescent="0.35">
      <c r="A424" s="2">
        <v>45078</v>
      </c>
      <c r="B424" t="s">
        <v>62</v>
      </c>
      <c r="C424" t="s">
        <v>21</v>
      </c>
      <c r="D424">
        <v>0</v>
      </c>
      <c r="E424">
        <v>650</v>
      </c>
    </row>
    <row r="425" spans="1:5" x14ac:dyDescent="0.35">
      <c r="A425" s="2">
        <v>45078</v>
      </c>
      <c r="B425" t="s">
        <v>62</v>
      </c>
      <c r="C425" t="s">
        <v>24</v>
      </c>
      <c r="D425">
        <v>0</v>
      </c>
      <c r="E425">
        <v>620</v>
      </c>
    </row>
    <row r="426" spans="1:5" x14ac:dyDescent="0.35">
      <c r="A426" s="2">
        <v>45108</v>
      </c>
      <c r="B426" t="s">
        <v>52</v>
      </c>
      <c r="C426" t="s">
        <v>21</v>
      </c>
      <c r="D426">
        <v>0</v>
      </c>
      <c r="E426">
        <v>424</v>
      </c>
    </row>
    <row r="427" spans="1:5" x14ac:dyDescent="0.35">
      <c r="A427" s="2">
        <v>45108</v>
      </c>
      <c r="B427" t="s">
        <v>53</v>
      </c>
      <c r="C427" t="s">
        <v>21</v>
      </c>
      <c r="D427">
        <v>0</v>
      </c>
      <c r="E427">
        <v>1315</v>
      </c>
    </row>
    <row r="428" spans="1:5" x14ac:dyDescent="0.35">
      <c r="A428" s="2">
        <v>45108</v>
      </c>
      <c r="B428" t="s">
        <v>58</v>
      </c>
      <c r="C428" t="s">
        <v>24</v>
      </c>
      <c r="D428">
        <v>0</v>
      </c>
      <c r="E428">
        <v>301</v>
      </c>
    </row>
    <row r="429" spans="1:5" x14ac:dyDescent="0.35">
      <c r="A429" s="2">
        <v>45108</v>
      </c>
      <c r="B429" t="s">
        <v>61</v>
      </c>
      <c r="C429" t="s">
        <v>24</v>
      </c>
      <c r="D429">
        <v>0</v>
      </c>
      <c r="E429">
        <v>439</v>
      </c>
    </row>
    <row r="430" spans="1:5" x14ac:dyDescent="0.35">
      <c r="A430" s="2">
        <v>45139</v>
      </c>
      <c r="B430" t="s">
        <v>52</v>
      </c>
      <c r="C430" t="s">
        <v>21</v>
      </c>
      <c r="D430">
        <v>0</v>
      </c>
      <c r="E430">
        <v>477</v>
      </c>
    </row>
    <row r="431" spans="1:5" x14ac:dyDescent="0.35">
      <c r="A431" s="2">
        <v>45139</v>
      </c>
      <c r="B431" t="s">
        <v>53</v>
      </c>
      <c r="C431" t="s">
        <v>21</v>
      </c>
      <c r="D431">
        <v>0</v>
      </c>
      <c r="E431">
        <v>1292</v>
      </c>
    </row>
    <row r="432" spans="1:5" x14ac:dyDescent="0.35">
      <c r="A432" s="2">
        <v>45139</v>
      </c>
      <c r="B432" t="s">
        <v>58</v>
      </c>
      <c r="C432" t="s">
        <v>21</v>
      </c>
      <c r="D432">
        <v>0</v>
      </c>
      <c r="E432">
        <v>63</v>
      </c>
    </row>
    <row r="433" spans="1:5" x14ac:dyDescent="0.35">
      <c r="A433" s="2">
        <v>45139</v>
      </c>
      <c r="B433" t="s">
        <v>58</v>
      </c>
      <c r="C433" t="s">
        <v>24</v>
      </c>
      <c r="D433">
        <v>0</v>
      </c>
      <c r="E433">
        <v>278</v>
      </c>
    </row>
    <row r="434" spans="1:5" x14ac:dyDescent="0.35">
      <c r="A434" s="2">
        <v>45139</v>
      </c>
      <c r="B434" t="s">
        <v>61</v>
      </c>
      <c r="C434" t="s">
        <v>24</v>
      </c>
      <c r="D434">
        <v>0</v>
      </c>
      <c r="E434">
        <v>410</v>
      </c>
    </row>
    <row r="435" spans="1:5" x14ac:dyDescent="0.35">
      <c r="A435" s="2">
        <v>45139</v>
      </c>
      <c r="B435" t="s">
        <v>62</v>
      </c>
      <c r="C435" t="s">
        <v>21</v>
      </c>
      <c r="D435">
        <v>0</v>
      </c>
      <c r="E435">
        <v>592</v>
      </c>
    </row>
    <row r="436" spans="1:5" x14ac:dyDescent="0.35">
      <c r="A436" s="2">
        <v>45139</v>
      </c>
      <c r="B436" t="s">
        <v>62</v>
      </c>
      <c r="C436" t="s">
        <v>24</v>
      </c>
      <c r="D436">
        <v>0</v>
      </c>
      <c r="E436">
        <v>760</v>
      </c>
    </row>
    <row r="437" spans="1:5" x14ac:dyDescent="0.35">
      <c r="A437" s="2">
        <v>45170</v>
      </c>
      <c r="B437" t="s">
        <v>52</v>
      </c>
      <c r="C437" t="s">
        <v>21</v>
      </c>
      <c r="D437">
        <v>0</v>
      </c>
      <c r="E437">
        <v>379</v>
      </c>
    </row>
    <row r="438" spans="1:5" x14ac:dyDescent="0.35">
      <c r="A438" s="2">
        <v>45170</v>
      </c>
      <c r="B438" t="s">
        <v>53</v>
      </c>
      <c r="C438" t="s">
        <v>21</v>
      </c>
      <c r="D438">
        <v>0</v>
      </c>
      <c r="E438">
        <v>1274</v>
      </c>
    </row>
    <row r="439" spans="1:5" x14ac:dyDescent="0.35">
      <c r="A439" s="2">
        <v>45170</v>
      </c>
      <c r="B439" t="s">
        <v>58</v>
      </c>
      <c r="C439" t="s">
        <v>21</v>
      </c>
      <c r="D439">
        <v>0</v>
      </c>
      <c r="E439">
        <v>40</v>
      </c>
    </row>
    <row r="440" spans="1:5" x14ac:dyDescent="0.35">
      <c r="A440" s="2">
        <v>45170</v>
      </c>
      <c r="B440" t="s">
        <v>58</v>
      </c>
      <c r="C440" t="s">
        <v>24</v>
      </c>
      <c r="D440">
        <v>0</v>
      </c>
      <c r="E440">
        <v>211</v>
      </c>
    </row>
    <row r="441" spans="1:5" x14ac:dyDescent="0.35">
      <c r="A441" s="2">
        <v>45170</v>
      </c>
      <c r="B441" t="s">
        <v>59</v>
      </c>
      <c r="C441" t="s">
        <v>21</v>
      </c>
      <c r="D441">
        <v>0</v>
      </c>
      <c r="E441">
        <v>426</v>
      </c>
    </row>
    <row r="442" spans="1:5" x14ac:dyDescent="0.35">
      <c r="A442" s="2">
        <v>45170</v>
      </c>
      <c r="B442" t="s">
        <v>59</v>
      </c>
      <c r="C442" t="s">
        <v>24</v>
      </c>
      <c r="D442">
        <v>0</v>
      </c>
      <c r="E442">
        <v>239</v>
      </c>
    </row>
    <row r="443" spans="1:5" x14ac:dyDescent="0.35">
      <c r="A443" s="2">
        <v>45170</v>
      </c>
      <c r="B443" t="s">
        <v>61</v>
      </c>
      <c r="C443" t="s">
        <v>24</v>
      </c>
      <c r="D443">
        <v>0</v>
      </c>
      <c r="E443">
        <v>415</v>
      </c>
    </row>
    <row r="444" spans="1:5" x14ac:dyDescent="0.35">
      <c r="A444" s="2">
        <v>45170</v>
      </c>
      <c r="B444" t="s">
        <v>62</v>
      </c>
      <c r="C444" t="s">
        <v>24</v>
      </c>
      <c r="D444">
        <v>0</v>
      </c>
      <c r="E444">
        <v>654</v>
      </c>
    </row>
    <row r="445" spans="1:5" x14ac:dyDescent="0.35">
      <c r="A445" s="2">
        <v>45200</v>
      </c>
      <c r="B445" t="s">
        <v>53</v>
      </c>
      <c r="C445" t="s">
        <v>21</v>
      </c>
      <c r="D445">
        <v>0</v>
      </c>
      <c r="E445">
        <v>1281</v>
      </c>
    </row>
    <row r="446" spans="1:5" x14ac:dyDescent="0.35">
      <c r="A446" s="2">
        <v>45200</v>
      </c>
      <c r="B446" t="s">
        <v>58</v>
      </c>
      <c r="C446" t="s">
        <v>21</v>
      </c>
      <c r="D446">
        <v>0</v>
      </c>
      <c r="E446">
        <v>33</v>
      </c>
    </row>
    <row r="447" spans="1:5" x14ac:dyDescent="0.35">
      <c r="A447" s="2">
        <v>45200</v>
      </c>
      <c r="B447" t="s">
        <v>58</v>
      </c>
      <c r="C447" t="s">
        <v>24</v>
      </c>
      <c r="D447">
        <v>0</v>
      </c>
      <c r="E447">
        <v>187</v>
      </c>
    </row>
    <row r="448" spans="1:5" x14ac:dyDescent="0.35">
      <c r="A448" s="2">
        <v>45200</v>
      </c>
      <c r="B448" t="s">
        <v>61</v>
      </c>
      <c r="C448" t="s">
        <v>24</v>
      </c>
      <c r="D448">
        <v>0</v>
      </c>
      <c r="E448">
        <v>453</v>
      </c>
    </row>
    <row r="449" spans="1:5" x14ac:dyDescent="0.35">
      <c r="A449" s="2">
        <v>45200</v>
      </c>
      <c r="B449" t="s">
        <v>62</v>
      </c>
      <c r="C449" t="s">
        <v>21</v>
      </c>
      <c r="D449">
        <v>0</v>
      </c>
      <c r="E449">
        <v>471</v>
      </c>
    </row>
    <row r="450" spans="1:5" x14ac:dyDescent="0.35">
      <c r="A450" s="2">
        <v>45200</v>
      </c>
      <c r="B450" t="s">
        <v>62</v>
      </c>
      <c r="C450" t="s">
        <v>24</v>
      </c>
      <c r="D450">
        <v>0</v>
      </c>
      <c r="E450">
        <v>743</v>
      </c>
    </row>
    <row r="451" spans="1:5" x14ac:dyDescent="0.35">
      <c r="A451" s="2">
        <v>45231</v>
      </c>
      <c r="B451" t="s">
        <v>53</v>
      </c>
      <c r="C451" t="s">
        <v>21</v>
      </c>
      <c r="D451">
        <v>0</v>
      </c>
      <c r="E451">
        <v>1458</v>
      </c>
    </row>
    <row r="452" spans="1:5" x14ac:dyDescent="0.35">
      <c r="A452" s="2">
        <v>45231</v>
      </c>
      <c r="B452" t="s">
        <v>58</v>
      </c>
      <c r="C452" t="s">
        <v>21</v>
      </c>
      <c r="D452">
        <v>0</v>
      </c>
      <c r="E452">
        <v>39</v>
      </c>
    </row>
    <row r="453" spans="1:5" x14ac:dyDescent="0.35">
      <c r="A453" s="2">
        <v>45231</v>
      </c>
      <c r="B453" t="s">
        <v>58</v>
      </c>
      <c r="C453" t="s">
        <v>24</v>
      </c>
      <c r="D453">
        <v>0</v>
      </c>
      <c r="E453">
        <v>166</v>
      </c>
    </row>
    <row r="454" spans="1:5" x14ac:dyDescent="0.35">
      <c r="A454" s="2">
        <v>45231</v>
      </c>
      <c r="B454" t="s">
        <v>61</v>
      </c>
      <c r="C454" t="s">
        <v>24</v>
      </c>
      <c r="D454">
        <v>0</v>
      </c>
      <c r="E454">
        <v>531</v>
      </c>
    </row>
    <row r="455" spans="1:5" x14ac:dyDescent="0.35">
      <c r="A455" s="2">
        <v>45261</v>
      </c>
      <c r="B455" t="s">
        <v>58</v>
      </c>
      <c r="C455" t="s">
        <v>21</v>
      </c>
      <c r="D455">
        <v>0</v>
      </c>
      <c r="E455">
        <v>7</v>
      </c>
    </row>
    <row r="456" spans="1:5" x14ac:dyDescent="0.35">
      <c r="A456" s="2">
        <v>45261</v>
      </c>
      <c r="B456" t="s">
        <v>58</v>
      </c>
      <c r="C456" t="s">
        <v>24</v>
      </c>
      <c r="D456">
        <v>0</v>
      </c>
      <c r="E456">
        <v>144</v>
      </c>
    </row>
    <row r="457" spans="1:5" x14ac:dyDescent="0.35">
      <c r="A457" s="2">
        <v>45261</v>
      </c>
      <c r="B457" t="s">
        <v>61</v>
      </c>
      <c r="C457" t="s">
        <v>24</v>
      </c>
      <c r="D457">
        <v>0</v>
      </c>
      <c r="E457">
        <v>568</v>
      </c>
    </row>
    <row r="458" spans="1:5" x14ac:dyDescent="0.35">
      <c r="A458" s="2">
        <v>45261</v>
      </c>
      <c r="B458" t="s">
        <v>62</v>
      </c>
      <c r="C458" t="s">
        <v>21</v>
      </c>
      <c r="D458">
        <v>0</v>
      </c>
      <c r="E458">
        <v>421</v>
      </c>
    </row>
    <row r="459" spans="1:5" x14ac:dyDescent="0.35">
      <c r="A459" s="2">
        <v>45261</v>
      </c>
      <c r="B459" t="s">
        <v>62</v>
      </c>
      <c r="C459" t="s">
        <v>24</v>
      </c>
      <c r="D459">
        <v>0</v>
      </c>
      <c r="E459">
        <v>562</v>
      </c>
    </row>
    <row r="460" spans="1:5" x14ac:dyDescent="0.35">
      <c r="A460" s="2">
        <v>45292</v>
      </c>
      <c r="B460" t="s">
        <v>53</v>
      </c>
      <c r="C460" t="s">
        <v>21</v>
      </c>
      <c r="D460">
        <v>0</v>
      </c>
      <c r="E460">
        <v>995</v>
      </c>
    </row>
    <row r="461" spans="1:5" x14ac:dyDescent="0.35">
      <c r="A461" s="2">
        <v>45292</v>
      </c>
      <c r="B461" t="s">
        <v>62</v>
      </c>
      <c r="C461" t="s">
        <v>21</v>
      </c>
      <c r="D461">
        <v>0</v>
      </c>
      <c r="E461">
        <v>505</v>
      </c>
    </row>
    <row r="462" spans="1:5" x14ac:dyDescent="0.35">
      <c r="A462" s="2">
        <v>45292</v>
      </c>
      <c r="B462" t="s">
        <v>58</v>
      </c>
      <c r="C462" t="s">
        <v>24</v>
      </c>
      <c r="D462">
        <v>0</v>
      </c>
      <c r="E462">
        <v>141</v>
      </c>
    </row>
    <row r="463" spans="1:5" x14ac:dyDescent="0.35">
      <c r="A463" s="2">
        <v>45292</v>
      </c>
      <c r="B463" t="s">
        <v>73</v>
      </c>
      <c r="C463" t="s">
        <v>24</v>
      </c>
      <c r="D463">
        <v>0</v>
      </c>
      <c r="E463">
        <v>177</v>
      </c>
    </row>
    <row r="464" spans="1:5" x14ac:dyDescent="0.35">
      <c r="A464" s="2">
        <v>45292</v>
      </c>
      <c r="B464" t="s">
        <v>62</v>
      </c>
      <c r="C464" t="s">
        <v>24</v>
      </c>
      <c r="D464">
        <v>0</v>
      </c>
      <c r="E464">
        <v>877</v>
      </c>
    </row>
    <row r="465" spans="1:5" x14ac:dyDescent="0.35">
      <c r="A465" s="2">
        <v>45323</v>
      </c>
      <c r="B465" t="s">
        <v>53</v>
      </c>
      <c r="C465" t="s">
        <v>21</v>
      </c>
      <c r="D465">
        <v>0</v>
      </c>
      <c r="E465">
        <v>1117</v>
      </c>
    </row>
    <row r="466" spans="1:5" x14ac:dyDescent="0.35">
      <c r="A466" s="2">
        <v>45323</v>
      </c>
      <c r="B466" t="s">
        <v>62</v>
      </c>
      <c r="C466" t="s">
        <v>21</v>
      </c>
      <c r="D466">
        <v>0</v>
      </c>
      <c r="E466">
        <v>763</v>
      </c>
    </row>
    <row r="467" spans="1:5" x14ac:dyDescent="0.35">
      <c r="A467" s="2">
        <v>45323</v>
      </c>
      <c r="B467" t="s">
        <v>58</v>
      </c>
      <c r="C467" t="s">
        <v>21</v>
      </c>
      <c r="D467">
        <v>0</v>
      </c>
      <c r="E467">
        <v>4</v>
      </c>
    </row>
    <row r="468" spans="1:5" x14ac:dyDescent="0.35">
      <c r="A468" s="2">
        <v>45323</v>
      </c>
      <c r="B468" t="s">
        <v>61</v>
      </c>
      <c r="C468" t="s">
        <v>24</v>
      </c>
      <c r="D468">
        <v>0</v>
      </c>
      <c r="E468">
        <v>494</v>
      </c>
    </row>
    <row r="469" spans="1:5" x14ac:dyDescent="0.35">
      <c r="A469" s="2">
        <v>45323</v>
      </c>
      <c r="B469" t="s">
        <v>58</v>
      </c>
      <c r="C469" t="s">
        <v>24</v>
      </c>
      <c r="D469">
        <v>0</v>
      </c>
      <c r="E469">
        <v>47</v>
      </c>
    </row>
    <row r="470" spans="1:5" x14ac:dyDescent="0.35">
      <c r="A470" s="2">
        <v>45352</v>
      </c>
      <c r="B470" t="s">
        <v>53</v>
      </c>
      <c r="C470" t="s">
        <v>21</v>
      </c>
      <c r="D470">
        <v>0</v>
      </c>
      <c r="E470">
        <v>1259</v>
      </c>
    </row>
    <row r="471" spans="1:5" x14ac:dyDescent="0.35">
      <c r="A471" s="2">
        <v>45352</v>
      </c>
      <c r="B471" t="s">
        <v>58</v>
      </c>
      <c r="C471" t="s">
        <v>21</v>
      </c>
      <c r="D471">
        <v>0</v>
      </c>
      <c r="E471">
        <v>11</v>
      </c>
    </row>
    <row r="472" spans="1:5" x14ac:dyDescent="0.35">
      <c r="A472" s="2">
        <v>45352</v>
      </c>
      <c r="B472" t="s">
        <v>61</v>
      </c>
      <c r="C472" t="s">
        <v>24</v>
      </c>
      <c r="D472">
        <v>0</v>
      </c>
      <c r="E472">
        <v>463</v>
      </c>
    </row>
    <row r="473" spans="1:5" x14ac:dyDescent="0.35">
      <c r="A473" s="2">
        <v>45352</v>
      </c>
      <c r="B473" t="s">
        <v>62</v>
      </c>
      <c r="C473" t="s">
        <v>24</v>
      </c>
      <c r="D473">
        <v>0</v>
      </c>
      <c r="E473">
        <v>1336</v>
      </c>
    </row>
    <row r="474" spans="1:5" x14ac:dyDescent="0.35">
      <c r="A474" s="2">
        <v>45352</v>
      </c>
      <c r="B474" t="s">
        <v>58</v>
      </c>
      <c r="C474" t="s">
        <v>24</v>
      </c>
      <c r="D474">
        <v>0</v>
      </c>
      <c r="E474">
        <v>81</v>
      </c>
    </row>
    <row r="475" spans="1:5" x14ac:dyDescent="0.35">
      <c r="A475" s="2">
        <v>44287</v>
      </c>
      <c r="B475" t="s">
        <v>56</v>
      </c>
      <c r="C475" t="s">
        <v>21</v>
      </c>
      <c r="D475">
        <v>1</v>
      </c>
      <c r="E475">
        <v>657</v>
      </c>
    </row>
    <row r="476" spans="1:5" x14ac:dyDescent="0.35">
      <c r="A476" s="2">
        <v>44287</v>
      </c>
      <c r="B476" t="s">
        <v>72</v>
      </c>
      <c r="C476" t="s">
        <v>24</v>
      </c>
      <c r="D476">
        <v>1</v>
      </c>
      <c r="E476">
        <v>3544</v>
      </c>
    </row>
    <row r="477" spans="1:5" x14ac:dyDescent="0.35">
      <c r="A477" s="2">
        <v>44287</v>
      </c>
      <c r="B477" t="s">
        <v>60</v>
      </c>
      <c r="C477" t="s">
        <v>24</v>
      </c>
      <c r="D477">
        <v>1</v>
      </c>
      <c r="E477">
        <v>930</v>
      </c>
    </row>
    <row r="478" spans="1:5" x14ac:dyDescent="0.35">
      <c r="A478" s="2">
        <v>44317</v>
      </c>
      <c r="B478" t="s">
        <v>66</v>
      </c>
      <c r="C478" t="s">
        <v>24</v>
      </c>
      <c r="D478">
        <v>1</v>
      </c>
      <c r="E478">
        <v>413</v>
      </c>
    </row>
    <row r="479" spans="1:5" x14ac:dyDescent="0.35">
      <c r="A479" s="2">
        <v>44317</v>
      </c>
      <c r="B479" t="s">
        <v>74</v>
      </c>
      <c r="C479" t="s">
        <v>24</v>
      </c>
      <c r="D479">
        <v>1</v>
      </c>
      <c r="E479">
        <v>4373</v>
      </c>
    </row>
    <row r="480" spans="1:5" x14ac:dyDescent="0.35">
      <c r="A480" s="2">
        <v>44317</v>
      </c>
      <c r="B480" t="s">
        <v>72</v>
      </c>
      <c r="C480" t="s">
        <v>24</v>
      </c>
      <c r="D480">
        <v>1</v>
      </c>
      <c r="E480">
        <v>1503</v>
      </c>
    </row>
    <row r="481" spans="1:5" x14ac:dyDescent="0.35">
      <c r="A481" s="2">
        <v>44317</v>
      </c>
      <c r="B481" t="s">
        <v>75</v>
      </c>
      <c r="C481" t="s">
        <v>24</v>
      </c>
      <c r="D481">
        <v>1</v>
      </c>
      <c r="E481">
        <v>2290</v>
      </c>
    </row>
    <row r="482" spans="1:5" x14ac:dyDescent="0.35">
      <c r="A482" s="2">
        <v>44317</v>
      </c>
      <c r="B482" t="s">
        <v>68</v>
      </c>
      <c r="C482" t="s">
        <v>21</v>
      </c>
      <c r="D482">
        <v>1</v>
      </c>
      <c r="E482">
        <v>6302</v>
      </c>
    </row>
    <row r="483" spans="1:5" x14ac:dyDescent="0.35">
      <c r="A483" s="2">
        <v>44317</v>
      </c>
      <c r="B483" t="s">
        <v>60</v>
      </c>
      <c r="C483" t="s">
        <v>24</v>
      </c>
      <c r="D483">
        <v>1</v>
      </c>
      <c r="E483">
        <v>88</v>
      </c>
    </row>
    <row r="484" spans="1:5" x14ac:dyDescent="0.35">
      <c r="A484" s="2">
        <v>44348</v>
      </c>
      <c r="B484" t="s">
        <v>54</v>
      </c>
      <c r="C484" t="s">
        <v>24</v>
      </c>
      <c r="D484">
        <v>1</v>
      </c>
      <c r="E484">
        <v>3842</v>
      </c>
    </row>
    <row r="485" spans="1:5" x14ac:dyDescent="0.35">
      <c r="A485" s="2">
        <v>44348</v>
      </c>
      <c r="B485" t="s">
        <v>56</v>
      </c>
      <c r="C485" t="s">
        <v>24</v>
      </c>
      <c r="D485">
        <v>1</v>
      </c>
      <c r="E485">
        <v>234</v>
      </c>
    </row>
    <row r="486" spans="1:5" x14ac:dyDescent="0.35">
      <c r="A486" s="2">
        <v>44348</v>
      </c>
      <c r="B486" t="s">
        <v>72</v>
      </c>
      <c r="C486" t="s">
        <v>24</v>
      </c>
      <c r="D486">
        <v>1</v>
      </c>
      <c r="E486">
        <v>3193</v>
      </c>
    </row>
    <row r="487" spans="1:5" x14ac:dyDescent="0.35">
      <c r="A487" s="2">
        <v>44348</v>
      </c>
      <c r="B487" t="s">
        <v>57</v>
      </c>
      <c r="C487" t="s">
        <v>24</v>
      </c>
      <c r="D487">
        <v>1</v>
      </c>
      <c r="E487">
        <v>4469</v>
      </c>
    </row>
    <row r="488" spans="1:5" x14ac:dyDescent="0.35">
      <c r="A488" s="2">
        <v>44348</v>
      </c>
      <c r="B488" t="s">
        <v>64</v>
      </c>
      <c r="C488" t="s">
        <v>21</v>
      </c>
      <c r="D488">
        <v>1</v>
      </c>
      <c r="E488">
        <v>1523</v>
      </c>
    </row>
    <row r="489" spans="1:5" x14ac:dyDescent="0.35">
      <c r="A489" s="2">
        <v>44378</v>
      </c>
      <c r="B489" t="s">
        <v>57</v>
      </c>
      <c r="C489" t="s">
        <v>24</v>
      </c>
      <c r="D489">
        <v>1</v>
      </c>
      <c r="E489">
        <v>5336</v>
      </c>
    </row>
    <row r="490" spans="1:5" x14ac:dyDescent="0.35">
      <c r="A490" s="2">
        <v>44378</v>
      </c>
      <c r="B490" t="s">
        <v>60</v>
      </c>
      <c r="C490" t="s">
        <v>24</v>
      </c>
      <c r="D490">
        <v>1</v>
      </c>
      <c r="E490">
        <v>759</v>
      </c>
    </row>
    <row r="491" spans="1:5" x14ac:dyDescent="0.35">
      <c r="A491" s="2">
        <v>44409</v>
      </c>
      <c r="B491" t="s">
        <v>52</v>
      </c>
      <c r="C491" t="s">
        <v>24</v>
      </c>
      <c r="D491">
        <v>1</v>
      </c>
      <c r="E491">
        <v>110</v>
      </c>
    </row>
    <row r="492" spans="1:5" x14ac:dyDescent="0.35">
      <c r="A492" s="2">
        <v>44409</v>
      </c>
      <c r="B492" t="s">
        <v>63</v>
      </c>
      <c r="C492" t="s">
        <v>24</v>
      </c>
      <c r="D492">
        <v>1</v>
      </c>
      <c r="E492">
        <v>837</v>
      </c>
    </row>
    <row r="493" spans="1:5" x14ac:dyDescent="0.35">
      <c r="A493" s="2">
        <v>44440</v>
      </c>
      <c r="B493" t="s">
        <v>56</v>
      </c>
      <c r="C493" t="s">
        <v>21</v>
      </c>
      <c r="D493">
        <v>1</v>
      </c>
      <c r="E493">
        <v>666</v>
      </c>
    </row>
    <row r="494" spans="1:5" x14ac:dyDescent="0.35">
      <c r="A494" s="2">
        <v>44440</v>
      </c>
      <c r="B494" t="s">
        <v>72</v>
      </c>
      <c r="C494" t="s">
        <v>24</v>
      </c>
      <c r="D494">
        <v>1</v>
      </c>
      <c r="E494">
        <v>3379</v>
      </c>
    </row>
    <row r="495" spans="1:5" x14ac:dyDescent="0.35">
      <c r="A495" s="2">
        <v>44440</v>
      </c>
      <c r="B495" t="s">
        <v>57</v>
      </c>
      <c r="C495" t="s">
        <v>24</v>
      </c>
      <c r="D495">
        <v>1</v>
      </c>
      <c r="E495">
        <v>3773</v>
      </c>
    </row>
    <row r="496" spans="1:5" x14ac:dyDescent="0.35">
      <c r="A496" s="2">
        <v>44440</v>
      </c>
      <c r="B496" t="s">
        <v>62</v>
      </c>
      <c r="C496" t="s">
        <v>21</v>
      </c>
      <c r="D496">
        <v>1</v>
      </c>
      <c r="E496">
        <v>578</v>
      </c>
    </row>
    <row r="497" spans="1:5" x14ac:dyDescent="0.35">
      <c r="A497" s="2">
        <v>44470</v>
      </c>
      <c r="B497" t="s">
        <v>52</v>
      </c>
      <c r="C497" t="s">
        <v>24</v>
      </c>
      <c r="D497">
        <v>1</v>
      </c>
      <c r="E497">
        <v>70</v>
      </c>
    </row>
    <row r="498" spans="1:5" x14ac:dyDescent="0.35">
      <c r="A498" s="2">
        <v>44470</v>
      </c>
      <c r="B498" t="s">
        <v>56</v>
      </c>
      <c r="C498" t="s">
        <v>21</v>
      </c>
      <c r="D498">
        <v>1</v>
      </c>
      <c r="E498">
        <v>628</v>
      </c>
    </row>
    <row r="499" spans="1:5" x14ac:dyDescent="0.35">
      <c r="A499" s="2">
        <v>44470</v>
      </c>
      <c r="B499" t="s">
        <v>56</v>
      </c>
      <c r="C499" t="s">
        <v>24</v>
      </c>
      <c r="D499">
        <v>1</v>
      </c>
      <c r="E499">
        <v>333</v>
      </c>
    </row>
    <row r="500" spans="1:5" x14ac:dyDescent="0.35">
      <c r="A500" s="2">
        <v>44470</v>
      </c>
      <c r="B500" t="s">
        <v>72</v>
      </c>
      <c r="C500" t="s">
        <v>24</v>
      </c>
      <c r="D500">
        <v>1</v>
      </c>
      <c r="E500">
        <v>3201</v>
      </c>
    </row>
    <row r="501" spans="1:5" x14ac:dyDescent="0.35">
      <c r="A501" s="2">
        <v>44501</v>
      </c>
      <c r="B501" t="s">
        <v>56</v>
      </c>
      <c r="C501" t="s">
        <v>21</v>
      </c>
      <c r="D501">
        <v>1</v>
      </c>
      <c r="E501">
        <v>938</v>
      </c>
    </row>
    <row r="502" spans="1:5" x14ac:dyDescent="0.35">
      <c r="A502" s="2">
        <v>44501</v>
      </c>
      <c r="B502" t="s">
        <v>63</v>
      </c>
      <c r="C502" t="s">
        <v>24</v>
      </c>
      <c r="D502">
        <v>1</v>
      </c>
      <c r="E502">
        <v>532</v>
      </c>
    </row>
    <row r="503" spans="1:5" x14ac:dyDescent="0.35">
      <c r="A503" s="2">
        <v>44531</v>
      </c>
      <c r="B503" t="s">
        <v>52</v>
      </c>
      <c r="C503" t="s">
        <v>24</v>
      </c>
      <c r="D503">
        <v>1</v>
      </c>
      <c r="E503">
        <v>122</v>
      </c>
    </row>
    <row r="504" spans="1:5" x14ac:dyDescent="0.35">
      <c r="A504" s="2">
        <v>44531</v>
      </c>
      <c r="B504" t="s">
        <v>56</v>
      </c>
      <c r="C504" t="s">
        <v>24</v>
      </c>
      <c r="D504">
        <v>1</v>
      </c>
      <c r="E504">
        <v>336</v>
      </c>
    </row>
    <row r="505" spans="1:5" x14ac:dyDescent="0.35">
      <c r="A505" s="2">
        <v>44531</v>
      </c>
      <c r="B505" t="s">
        <v>72</v>
      </c>
      <c r="C505" t="s">
        <v>24</v>
      </c>
      <c r="D505">
        <v>1</v>
      </c>
      <c r="E505">
        <v>4105</v>
      </c>
    </row>
    <row r="506" spans="1:5" x14ac:dyDescent="0.35">
      <c r="A506" s="2">
        <v>44531</v>
      </c>
      <c r="B506" t="s">
        <v>64</v>
      </c>
      <c r="C506" t="s">
        <v>21</v>
      </c>
      <c r="D506">
        <v>1</v>
      </c>
      <c r="E506">
        <v>3579</v>
      </c>
    </row>
    <row r="507" spans="1:5" x14ac:dyDescent="0.35">
      <c r="A507" s="2">
        <v>44593</v>
      </c>
      <c r="B507" t="s">
        <v>56</v>
      </c>
      <c r="C507" t="s">
        <v>24</v>
      </c>
      <c r="D507">
        <v>1</v>
      </c>
      <c r="E507">
        <v>354</v>
      </c>
    </row>
    <row r="508" spans="1:5" x14ac:dyDescent="0.35">
      <c r="A508" s="2">
        <v>44593</v>
      </c>
      <c r="B508" t="s">
        <v>60</v>
      </c>
      <c r="C508" t="s">
        <v>24</v>
      </c>
      <c r="D508">
        <v>1</v>
      </c>
      <c r="E508">
        <v>917</v>
      </c>
    </row>
    <row r="509" spans="1:5" x14ac:dyDescent="0.35">
      <c r="A509" s="2">
        <v>44621</v>
      </c>
      <c r="B509" t="s">
        <v>56</v>
      </c>
      <c r="C509" t="s">
        <v>24</v>
      </c>
      <c r="D509">
        <v>1</v>
      </c>
      <c r="E509">
        <v>355</v>
      </c>
    </row>
    <row r="510" spans="1:5" x14ac:dyDescent="0.35">
      <c r="A510" s="2">
        <v>44652</v>
      </c>
      <c r="B510" t="s">
        <v>52</v>
      </c>
      <c r="C510" t="s">
        <v>24</v>
      </c>
      <c r="D510">
        <v>1</v>
      </c>
      <c r="E510">
        <v>147</v>
      </c>
    </row>
    <row r="511" spans="1:5" x14ac:dyDescent="0.35">
      <c r="A511" s="2">
        <v>44652</v>
      </c>
      <c r="B511" t="s">
        <v>56</v>
      </c>
      <c r="C511" t="s">
        <v>24</v>
      </c>
      <c r="D511">
        <v>1</v>
      </c>
      <c r="E511">
        <v>431</v>
      </c>
    </row>
    <row r="512" spans="1:5" x14ac:dyDescent="0.35">
      <c r="A512" s="2">
        <v>44652</v>
      </c>
      <c r="B512" t="s">
        <v>59</v>
      </c>
      <c r="C512" t="s">
        <v>21</v>
      </c>
      <c r="D512">
        <v>1</v>
      </c>
      <c r="E512">
        <v>1246</v>
      </c>
    </row>
    <row r="513" spans="1:5" x14ac:dyDescent="0.35">
      <c r="A513" s="2">
        <v>44652</v>
      </c>
      <c r="B513" t="s">
        <v>59</v>
      </c>
      <c r="C513" t="s">
        <v>24</v>
      </c>
      <c r="D513">
        <v>1</v>
      </c>
      <c r="E513">
        <v>813</v>
      </c>
    </row>
    <row r="514" spans="1:5" x14ac:dyDescent="0.35">
      <c r="A514" s="2">
        <v>44652</v>
      </c>
      <c r="B514" t="s">
        <v>60</v>
      </c>
      <c r="C514" t="s">
        <v>24</v>
      </c>
      <c r="D514">
        <v>1</v>
      </c>
      <c r="E514">
        <v>860</v>
      </c>
    </row>
    <row r="515" spans="1:5" x14ac:dyDescent="0.35">
      <c r="A515" s="2">
        <v>44682</v>
      </c>
      <c r="B515" t="s">
        <v>56</v>
      </c>
      <c r="C515" t="s">
        <v>24</v>
      </c>
      <c r="D515">
        <v>1</v>
      </c>
      <c r="E515">
        <v>374</v>
      </c>
    </row>
    <row r="516" spans="1:5" x14ac:dyDescent="0.35">
      <c r="A516" s="2">
        <v>44682</v>
      </c>
      <c r="B516" t="s">
        <v>61</v>
      </c>
      <c r="C516" t="s">
        <v>21</v>
      </c>
      <c r="D516">
        <v>1</v>
      </c>
      <c r="E516">
        <v>1638</v>
      </c>
    </row>
    <row r="517" spans="1:5" x14ac:dyDescent="0.35">
      <c r="A517" s="2">
        <v>44682</v>
      </c>
      <c r="B517" t="s">
        <v>62</v>
      </c>
      <c r="C517" t="s">
        <v>21</v>
      </c>
      <c r="D517">
        <v>1</v>
      </c>
      <c r="E517">
        <v>514</v>
      </c>
    </row>
    <row r="518" spans="1:5" x14ac:dyDescent="0.35">
      <c r="A518" s="2">
        <v>44713</v>
      </c>
      <c r="B518" t="s">
        <v>56</v>
      </c>
      <c r="C518" t="s">
        <v>21</v>
      </c>
      <c r="D518">
        <v>1</v>
      </c>
      <c r="E518">
        <v>767</v>
      </c>
    </row>
    <row r="519" spans="1:5" x14ac:dyDescent="0.35">
      <c r="A519" s="2">
        <v>44713</v>
      </c>
      <c r="B519" t="s">
        <v>60</v>
      </c>
      <c r="C519" t="s">
        <v>24</v>
      </c>
      <c r="D519">
        <v>1</v>
      </c>
      <c r="E519">
        <v>1087</v>
      </c>
    </row>
    <row r="520" spans="1:5" x14ac:dyDescent="0.35">
      <c r="A520" s="2">
        <v>44743</v>
      </c>
      <c r="B520" t="s">
        <v>53</v>
      </c>
      <c r="C520" t="s">
        <v>24</v>
      </c>
      <c r="D520">
        <v>1</v>
      </c>
      <c r="E520">
        <v>947</v>
      </c>
    </row>
    <row r="521" spans="1:5" x14ac:dyDescent="0.35">
      <c r="A521" s="2">
        <v>44743</v>
      </c>
      <c r="B521" t="s">
        <v>58</v>
      </c>
      <c r="C521" t="s">
        <v>24</v>
      </c>
      <c r="D521">
        <v>1</v>
      </c>
      <c r="E521">
        <v>285</v>
      </c>
    </row>
    <row r="522" spans="1:5" x14ac:dyDescent="0.35">
      <c r="A522" s="2">
        <v>44743</v>
      </c>
      <c r="B522" t="s">
        <v>61</v>
      </c>
      <c r="C522" t="s">
        <v>21</v>
      </c>
      <c r="D522">
        <v>1</v>
      </c>
      <c r="E522">
        <v>1427</v>
      </c>
    </row>
    <row r="523" spans="1:5" x14ac:dyDescent="0.35">
      <c r="A523" s="2">
        <v>44774</v>
      </c>
      <c r="B523" t="s">
        <v>56</v>
      </c>
      <c r="C523" t="s">
        <v>24</v>
      </c>
      <c r="D523">
        <v>1</v>
      </c>
      <c r="E523">
        <v>303</v>
      </c>
    </row>
    <row r="524" spans="1:5" x14ac:dyDescent="0.35">
      <c r="A524" s="2">
        <v>44805</v>
      </c>
      <c r="B524" t="s">
        <v>56</v>
      </c>
      <c r="C524" t="s">
        <v>24</v>
      </c>
      <c r="D524">
        <v>1</v>
      </c>
      <c r="E524">
        <v>390</v>
      </c>
    </row>
    <row r="525" spans="1:5" x14ac:dyDescent="0.35">
      <c r="A525" s="2">
        <v>44805</v>
      </c>
      <c r="B525" t="s">
        <v>59</v>
      </c>
      <c r="C525" t="s">
        <v>21</v>
      </c>
      <c r="D525">
        <v>1</v>
      </c>
      <c r="E525">
        <v>2473</v>
      </c>
    </row>
    <row r="526" spans="1:5" x14ac:dyDescent="0.35">
      <c r="A526" s="2">
        <v>44805</v>
      </c>
      <c r="B526" t="s">
        <v>60</v>
      </c>
      <c r="C526" t="s">
        <v>21</v>
      </c>
      <c r="D526">
        <v>1</v>
      </c>
      <c r="E526">
        <v>1719</v>
      </c>
    </row>
    <row r="527" spans="1:5" x14ac:dyDescent="0.35">
      <c r="A527" s="2">
        <v>44835</v>
      </c>
      <c r="B527" t="s">
        <v>60</v>
      </c>
      <c r="C527" t="s">
        <v>24</v>
      </c>
      <c r="D527">
        <v>1</v>
      </c>
      <c r="E527">
        <v>1188</v>
      </c>
    </row>
    <row r="528" spans="1:5" x14ac:dyDescent="0.35">
      <c r="A528" s="2">
        <v>44866</v>
      </c>
      <c r="B528" t="s">
        <v>52</v>
      </c>
      <c r="C528" t="s">
        <v>24</v>
      </c>
      <c r="D528">
        <v>1</v>
      </c>
      <c r="E528">
        <v>159</v>
      </c>
    </row>
    <row r="529" spans="1:5" x14ac:dyDescent="0.35">
      <c r="A529" s="2">
        <v>44896</v>
      </c>
      <c r="B529" t="s">
        <v>53</v>
      </c>
      <c r="C529" t="s">
        <v>21</v>
      </c>
      <c r="D529">
        <v>1</v>
      </c>
      <c r="E529">
        <v>925</v>
      </c>
    </row>
    <row r="530" spans="1:5" x14ac:dyDescent="0.35">
      <c r="A530" s="2">
        <v>44896</v>
      </c>
      <c r="B530" t="s">
        <v>60</v>
      </c>
      <c r="C530" t="s">
        <v>21</v>
      </c>
      <c r="D530">
        <v>1</v>
      </c>
      <c r="E530">
        <v>1180</v>
      </c>
    </row>
    <row r="531" spans="1:5" x14ac:dyDescent="0.35">
      <c r="A531" s="2">
        <v>44896</v>
      </c>
      <c r="B531" t="s">
        <v>70</v>
      </c>
      <c r="C531" t="s">
        <v>24</v>
      </c>
      <c r="D531">
        <v>1</v>
      </c>
      <c r="E531">
        <v>13085</v>
      </c>
    </row>
    <row r="532" spans="1:5" x14ac:dyDescent="0.35">
      <c r="A532" s="2">
        <v>44927</v>
      </c>
      <c r="B532" t="s">
        <v>56</v>
      </c>
      <c r="C532" t="s">
        <v>24</v>
      </c>
      <c r="D532">
        <v>1</v>
      </c>
      <c r="E532">
        <v>360</v>
      </c>
    </row>
    <row r="533" spans="1:5" x14ac:dyDescent="0.35">
      <c r="A533" s="2">
        <v>44927</v>
      </c>
      <c r="B533" t="s">
        <v>58</v>
      </c>
      <c r="C533" t="s">
        <v>21</v>
      </c>
      <c r="D533">
        <v>1</v>
      </c>
      <c r="E533">
        <v>20</v>
      </c>
    </row>
    <row r="534" spans="1:5" x14ac:dyDescent="0.35">
      <c r="A534" s="2">
        <v>44927</v>
      </c>
      <c r="B534" t="s">
        <v>60</v>
      </c>
      <c r="C534" t="s">
        <v>24</v>
      </c>
      <c r="D534">
        <v>1</v>
      </c>
      <c r="E534">
        <v>1271</v>
      </c>
    </row>
    <row r="535" spans="1:5" x14ac:dyDescent="0.35">
      <c r="A535" s="2">
        <v>44986</v>
      </c>
      <c r="B535" t="s">
        <v>52</v>
      </c>
      <c r="C535" t="s">
        <v>21</v>
      </c>
      <c r="D535">
        <v>1</v>
      </c>
      <c r="E535">
        <v>373</v>
      </c>
    </row>
    <row r="536" spans="1:5" x14ac:dyDescent="0.35">
      <c r="A536" s="2">
        <v>44986</v>
      </c>
      <c r="B536" t="s">
        <v>52</v>
      </c>
      <c r="C536" t="s">
        <v>24</v>
      </c>
      <c r="D536">
        <v>1</v>
      </c>
      <c r="E536">
        <v>162</v>
      </c>
    </row>
    <row r="537" spans="1:5" x14ac:dyDescent="0.35">
      <c r="A537" s="2">
        <v>44986</v>
      </c>
      <c r="B537" t="s">
        <v>60</v>
      </c>
      <c r="C537" t="s">
        <v>21</v>
      </c>
      <c r="D537">
        <v>1</v>
      </c>
      <c r="E537">
        <v>1907</v>
      </c>
    </row>
    <row r="538" spans="1:5" x14ac:dyDescent="0.35">
      <c r="A538" s="2">
        <v>45017</v>
      </c>
      <c r="B538" t="s">
        <v>52</v>
      </c>
      <c r="C538" t="s">
        <v>24</v>
      </c>
      <c r="D538">
        <v>1</v>
      </c>
      <c r="E538">
        <v>122</v>
      </c>
    </row>
    <row r="539" spans="1:5" x14ac:dyDescent="0.35">
      <c r="A539" s="2">
        <v>45017</v>
      </c>
      <c r="B539" t="s">
        <v>53</v>
      </c>
      <c r="C539" t="s">
        <v>24</v>
      </c>
      <c r="D539">
        <v>1</v>
      </c>
      <c r="E539">
        <v>892</v>
      </c>
    </row>
    <row r="540" spans="1:5" x14ac:dyDescent="0.35">
      <c r="A540" s="2">
        <v>45017</v>
      </c>
      <c r="B540" t="s">
        <v>56</v>
      </c>
      <c r="C540" t="s">
        <v>24</v>
      </c>
      <c r="D540">
        <v>1</v>
      </c>
      <c r="E540">
        <v>407</v>
      </c>
    </row>
    <row r="541" spans="1:5" x14ac:dyDescent="0.35">
      <c r="A541" s="2">
        <v>45017</v>
      </c>
      <c r="B541" t="s">
        <v>62</v>
      </c>
      <c r="C541" t="s">
        <v>24</v>
      </c>
      <c r="D541">
        <v>1</v>
      </c>
      <c r="E541">
        <v>687</v>
      </c>
    </row>
    <row r="542" spans="1:5" x14ac:dyDescent="0.35">
      <c r="A542" s="2">
        <v>45017</v>
      </c>
      <c r="B542" t="s">
        <v>64</v>
      </c>
      <c r="C542" t="s">
        <v>24</v>
      </c>
      <c r="D542">
        <v>1</v>
      </c>
      <c r="E542">
        <v>299</v>
      </c>
    </row>
    <row r="543" spans="1:5" x14ac:dyDescent="0.35">
      <c r="A543" s="2">
        <v>45047</v>
      </c>
      <c r="B543" t="s">
        <v>53</v>
      </c>
      <c r="C543" t="s">
        <v>21</v>
      </c>
      <c r="D543">
        <v>1</v>
      </c>
      <c r="E543">
        <v>1193</v>
      </c>
    </row>
    <row r="544" spans="1:5" x14ac:dyDescent="0.35">
      <c r="A544" s="2">
        <v>45078</v>
      </c>
      <c r="B544" t="s">
        <v>52</v>
      </c>
      <c r="C544" t="s">
        <v>24</v>
      </c>
      <c r="D544">
        <v>1</v>
      </c>
      <c r="E544">
        <v>136</v>
      </c>
    </row>
    <row r="545" spans="1:5" x14ac:dyDescent="0.35">
      <c r="A545" s="2">
        <v>45078</v>
      </c>
      <c r="B545" t="s">
        <v>56</v>
      </c>
      <c r="C545" t="s">
        <v>24</v>
      </c>
      <c r="D545">
        <v>1</v>
      </c>
      <c r="E545">
        <v>370</v>
      </c>
    </row>
    <row r="546" spans="1:5" x14ac:dyDescent="0.35">
      <c r="A546" s="2">
        <v>45078</v>
      </c>
      <c r="B546" t="s">
        <v>60</v>
      </c>
      <c r="C546" t="s">
        <v>21</v>
      </c>
      <c r="D546">
        <v>1</v>
      </c>
      <c r="E546">
        <v>1969</v>
      </c>
    </row>
    <row r="547" spans="1:5" x14ac:dyDescent="0.35">
      <c r="A547" s="2">
        <v>45108</v>
      </c>
      <c r="B547" t="s">
        <v>58</v>
      </c>
      <c r="C547" t="s">
        <v>21</v>
      </c>
      <c r="D547">
        <v>1</v>
      </c>
      <c r="E547">
        <v>117</v>
      </c>
    </row>
    <row r="548" spans="1:5" x14ac:dyDescent="0.35">
      <c r="A548" s="2">
        <v>45108</v>
      </c>
      <c r="B548" t="s">
        <v>62</v>
      </c>
      <c r="C548" t="s">
        <v>21</v>
      </c>
      <c r="D548">
        <v>1</v>
      </c>
      <c r="E548">
        <v>599</v>
      </c>
    </row>
    <row r="549" spans="1:5" x14ac:dyDescent="0.35">
      <c r="A549" s="2">
        <v>45108</v>
      </c>
      <c r="B549" t="s">
        <v>62</v>
      </c>
      <c r="C549" t="s">
        <v>24</v>
      </c>
      <c r="D549">
        <v>1</v>
      </c>
      <c r="E549">
        <v>739</v>
      </c>
    </row>
    <row r="550" spans="1:5" x14ac:dyDescent="0.35">
      <c r="A550" s="2">
        <v>45139</v>
      </c>
      <c r="B550" t="s">
        <v>56</v>
      </c>
      <c r="C550" t="s">
        <v>24</v>
      </c>
      <c r="D550">
        <v>1</v>
      </c>
      <c r="E550">
        <v>357</v>
      </c>
    </row>
    <row r="551" spans="1:5" x14ac:dyDescent="0.35">
      <c r="A551" s="2">
        <v>45170</v>
      </c>
      <c r="B551" t="s">
        <v>52</v>
      </c>
      <c r="C551" t="s">
        <v>24</v>
      </c>
      <c r="D551">
        <v>1</v>
      </c>
      <c r="E551">
        <v>148</v>
      </c>
    </row>
    <row r="552" spans="1:5" x14ac:dyDescent="0.35">
      <c r="A552" s="2">
        <v>45170</v>
      </c>
      <c r="B552" t="s">
        <v>62</v>
      </c>
      <c r="C552" t="s">
        <v>21</v>
      </c>
      <c r="D552">
        <v>1</v>
      </c>
      <c r="E552">
        <v>531</v>
      </c>
    </row>
    <row r="553" spans="1:5" x14ac:dyDescent="0.35">
      <c r="A553" s="2">
        <v>45200</v>
      </c>
      <c r="B553" t="s">
        <v>52</v>
      </c>
      <c r="C553" t="s">
        <v>21</v>
      </c>
      <c r="D553">
        <v>1</v>
      </c>
      <c r="E553">
        <v>404</v>
      </c>
    </row>
    <row r="554" spans="1:5" x14ac:dyDescent="0.35">
      <c r="A554" s="2">
        <v>45200</v>
      </c>
      <c r="B554" t="s">
        <v>52</v>
      </c>
      <c r="C554" t="s">
        <v>24</v>
      </c>
      <c r="D554">
        <v>1</v>
      </c>
      <c r="E554">
        <v>191</v>
      </c>
    </row>
    <row r="555" spans="1:5" x14ac:dyDescent="0.35">
      <c r="A555" s="2">
        <v>45200</v>
      </c>
      <c r="B555" t="s">
        <v>60</v>
      </c>
      <c r="C555" t="s">
        <v>21</v>
      </c>
      <c r="D555">
        <v>1</v>
      </c>
      <c r="E555">
        <v>1776</v>
      </c>
    </row>
    <row r="556" spans="1:5" x14ac:dyDescent="0.35">
      <c r="A556" s="2">
        <v>45200</v>
      </c>
      <c r="B556" t="s">
        <v>60</v>
      </c>
      <c r="C556" t="s">
        <v>24</v>
      </c>
      <c r="D556">
        <v>1</v>
      </c>
      <c r="E556">
        <v>1354</v>
      </c>
    </row>
    <row r="557" spans="1:5" x14ac:dyDescent="0.35">
      <c r="A557" s="2">
        <v>45231</v>
      </c>
      <c r="B557" t="s">
        <v>52</v>
      </c>
      <c r="C557" t="s">
        <v>24</v>
      </c>
      <c r="D557">
        <v>1</v>
      </c>
      <c r="E557">
        <v>170</v>
      </c>
    </row>
    <row r="558" spans="1:5" x14ac:dyDescent="0.35">
      <c r="A558" s="2">
        <v>45231</v>
      </c>
      <c r="B558" t="s">
        <v>62</v>
      </c>
      <c r="C558" t="s">
        <v>21</v>
      </c>
      <c r="D558">
        <v>1</v>
      </c>
      <c r="E558">
        <v>634</v>
      </c>
    </row>
    <row r="559" spans="1:5" x14ac:dyDescent="0.35">
      <c r="A559" s="2">
        <v>45231</v>
      </c>
      <c r="B559" t="s">
        <v>62</v>
      </c>
      <c r="C559" t="s">
        <v>24</v>
      </c>
      <c r="D559">
        <v>1</v>
      </c>
      <c r="E559">
        <v>860</v>
      </c>
    </row>
    <row r="560" spans="1:5" x14ac:dyDescent="0.35">
      <c r="A560" s="2">
        <v>45261</v>
      </c>
      <c r="B560" t="s">
        <v>60</v>
      </c>
      <c r="C560" t="s">
        <v>21</v>
      </c>
      <c r="D560">
        <v>1</v>
      </c>
      <c r="E560">
        <v>1518</v>
      </c>
    </row>
    <row r="561" spans="1:5" x14ac:dyDescent="0.35">
      <c r="A561" s="2">
        <v>45261</v>
      </c>
      <c r="B561" t="s">
        <v>60</v>
      </c>
      <c r="C561" t="s">
        <v>24</v>
      </c>
      <c r="D561">
        <v>1</v>
      </c>
      <c r="E561">
        <v>1060</v>
      </c>
    </row>
    <row r="562" spans="1:5" x14ac:dyDescent="0.35">
      <c r="A562" s="2">
        <v>45292</v>
      </c>
      <c r="B562" t="s">
        <v>61</v>
      </c>
      <c r="C562" t="s">
        <v>24</v>
      </c>
      <c r="D562">
        <v>1</v>
      </c>
      <c r="E562">
        <v>513</v>
      </c>
    </row>
    <row r="563" spans="1:5" x14ac:dyDescent="0.35">
      <c r="A563" s="2">
        <v>45292</v>
      </c>
      <c r="B563" t="s">
        <v>60</v>
      </c>
      <c r="C563" t="s">
        <v>24</v>
      </c>
      <c r="D563">
        <v>1</v>
      </c>
      <c r="E563">
        <v>1429</v>
      </c>
    </row>
    <row r="564" spans="1:5" x14ac:dyDescent="0.35">
      <c r="A564" s="2">
        <v>45323</v>
      </c>
      <c r="B564" t="s">
        <v>52</v>
      </c>
      <c r="C564" t="s">
        <v>24</v>
      </c>
      <c r="D564">
        <v>1</v>
      </c>
      <c r="E564">
        <v>181</v>
      </c>
    </row>
    <row r="565" spans="1:5" x14ac:dyDescent="0.35">
      <c r="A565" s="2">
        <v>45323</v>
      </c>
      <c r="B565" t="s">
        <v>62</v>
      </c>
      <c r="C565" t="s">
        <v>24</v>
      </c>
      <c r="D565">
        <v>1</v>
      </c>
      <c r="E565">
        <v>822</v>
      </c>
    </row>
    <row r="566" spans="1:5" x14ac:dyDescent="0.35">
      <c r="A566" s="2">
        <v>45352</v>
      </c>
      <c r="B566" t="s">
        <v>52</v>
      </c>
      <c r="C566" t="s">
        <v>24</v>
      </c>
      <c r="D566">
        <v>1</v>
      </c>
      <c r="E566">
        <v>158</v>
      </c>
    </row>
    <row r="567" spans="1:5" x14ac:dyDescent="0.35">
      <c r="A567" s="2">
        <v>45352</v>
      </c>
      <c r="B567" t="s">
        <v>53</v>
      </c>
      <c r="C567" t="s">
        <v>24</v>
      </c>
      <c r="D567">
        <v>1</v>
      </c>
      <c r="E567">
        <v>1081</v>
      </c>
    </row>
    <row r="568" spans="1:5" x14ac:dyDescent="0.35">
      <c r="A568" s="2">
        <v>44287</v>
      </c>
      <c r="B568" t="s">
        <v>52</v>
      </c>
      <c r="C568" t="s">
        <v>24</v>
      </c>
      <c r="D568">
        <v>9</v>
      </c>
      <c r="E568">
        <v>168</v>
      </c>
    </row>
    <row r="569" spans="1:5" x14ac:dyDescent="0.35">
      <c r="A569" s="2">
        <v>44287</v>
      </c>
      <c r="B569" t="s">
        <v>76</v>
      </c>
      <c r="C569" t="s">
        <v>24</v>
      </c>
      <c r="D569">
        <v>26</v>
      </c>
      <c r="E569">
        <v>7837</v>
      </c>
    </row>
    <row r="570" spans="1:5" x14ac:dyDescent="0.35">
      <c r="A570" s="2">
        <v>44287</v>
      </c>
      <c r="B570" t="s">
        <v>65</v>
      </c>
      <c r="C570" t="s">
        <v>24</v>
      </c>
      <c r="D570">
        <v>4</v>
      </c>
      <c r="E570">
        <v>5731</v>
      </c>
    </row>
    <row r="571" spans="1:5" x14ac:dyDescent="0.35">
      <c r="A571" s="2">
        <v>44287</v>
      </c>
      <c r="B571" t="s">
        <v>66</v>
      </c>
      <c r="C571" t="s">
        <v>24</v>
      </c>
      <c r="D571">
        <v>2</v>
      </c>
      <c r="E571">
        <v>1426</v>
      </c>
    </row>
    <row r="572" spans="1:5" x14ac:dyDescent="0.35">
      <c r="A572" s="2">
        <v>44287</v>
      </c>
      <c r="B572" t="s">
        <v>67</v>
      </c>
      <c r="C572" t="s">
        <v>24</v>
      </c>
      <c r="D572">
        <v>61</v>
      </c>
      <c r="E572">
        <v>8076</v>
      </c>
    </row>
    <row r="573" spans="1:5" x14ac:dyDescent="0.35">
      <c r="A573" s="2">
        <v>44287</v>
      </c>
      <c r="B573" t="s">
        <v>77</v>
      </c>
      <c r="C573" t="s">
        <v>24</v>
      </c>
      <c r="D573">
        <v>8</v>
      </c>
      <c r="E573">
        <v>1442</v>
      </c>
    </row>
    <row r="574" spans="1:5" x14ac:dyDescent="0.35">
      <c r="A574" s="2">
        <v>44287</v>
      </c>
      <c r="B574" t="s">
        <v>78</v>
      </c>
      <c r="C574" t="s">
        <v>24</v>
      </c>
      <c r="D574">
        <v>44</v>
      </c>
      <c r="E574">
        <v>17386</v>
      </c>
    </row>
    <row r="575" spans="1:5" x14ac:dyDescent="0.35">
      <c r="A575" s="2">
        <v>44287</v>
      </c>
      <c r="B575" t="s">
        <v>74</v>
      </c>
      <c r="C575" t="s">
        <v>24</v>
      </c>
      <c r="D575">
        <v>3</v>
      </c>
      <c r="E575">
        <v>15476</v>
      </c>
    </row>
    <row r="576" spans="1:5" x14ac:dyDescent="0.35">
      <c r="A576" s="2">
        <v>44287</v>
      </c>
      <c r="B576" t="s">
        <v>75</v>
      </c>
      <c r="C576" t="s">
        <v>24</v>
      </c>
      <c r="D576">
        <v>3</v>
      </c>
      <c r="E576">
        <v>3425</v>
      </c>
    </row>
    <row r="577" spans="1:5" x14ac:dyDescent="0.35">
      <c r="A577" s="2">
        <v>44287</v>
      </c>
      <c r="B577" t="s">
        <v>79</v>
      </c>
      <c r="C577" t="s">
        <v>24</v>
      </c>
      <c r="D577">
        <v>90</v>
      </c>
      <c r="E577">
        <v>16864</v>
      </c>
    </row>
    <row r="578" spans="1:5" x14ac:dyDescent="0.35">
      <c r="A578" s="2">
        <v>44287</v>
      </c>
      <c r="B578" t="s">
        <v>80</v>
      </c>
      <c r="C578" t="s">
        <v>24</v>
      </c>
      <c r="D578">
        <v>132</v>
      </c>
      <c r="E578">
        <v>23660</v>
      </c>
    </row>
    <row r="579" spans="1:5" x14ac:dyDescent="0.35">
      <c r="A579" s="2">
        <v>44287</v>
      </c>
      <c r="B579" t="s">
        <v>68</v>
      </c>
      <c r="C579" t="s">
        <v>24</v>
      </c>
      <c r="D579">
        <v>2</v>
      </c>
      <c r="E579">
        <v>5356</v>
      </c>
    </row>
    <row r="580" spans="1:5" x14ac:dyDescent="0.35">
      <c r="A580" s="2">
        <v>44287</v>
      </c>
      <c r="B580" t="s">
        <v>81</v>
      </c>
      <c r="C580" t="s">
        <v>24</v>
      </c>
      <c r="D580">
        <v>96</v>
      </c>
      <c r="E580">
        <v>16829</v>
      </c>
    </row>
    <row r="581" spans="1:5" x14ac:dyDescent="0.35">
      <c r="A581" s="2">
        <v>44287</v>
      </c>
      <c r="B581" t="s">
        <v>69</v>
      </c>
      <c r="C581" t="s">
        <v>24</v>
      </c>
      <c r="D581">
        <v>5</v>
      </c>
      <c r="E581">
        <v>5101</v>
      </c>
    </row>
    <row r="582" spans="1:5" x14ac:dyDescent="0.35">
      <c r="A582" s="2">
        <v>44287</v>
      </c>
      <c r="B582" t="s">
        <v>70</v>
      </c>
      <c r="C582" t="s">
        <v>24</v>
      </c>
      <c r="D582">
        <v>4</v>
      </c>
      <c r="E582">
        <v>8955</v>
      </c>
    </row>
    <row r="583" spans="1:5" x14ac:dyDescent="0.35">
      <c r="A583" s="2">
        <v>44287</v>
      </c>
      <c r="B583" t="s">
        <v>82</v>
      </c>
      <c r="C583" t="s">
        <v>24</v>
      </c>
      <c r="D583">
        <v>22</v>
      </c>
      <c r="E583">
        <v>10647</v>
      </c>
    </row>
    <row r="584" spans="1:5" x14ac:dyDescent="0.35">
      <c r="A584" s="2">
        <v>44287</v>
      </c>
      <c r="B584" t="s">
        <v>83</v>
      </c>
      <c r="C584" t="s">
        <v>24</v>
      </c>
      <c r="D584">
        <v>75</v>
      </c>
      <c r="E584">
        <v>18826</v>
      </c>
    </row>
    <row r="585" spans="1:5" x14ac:dyDescent="0.35">
      <c r="A585" s="2">
        <v>44287</v>
      </c>
      <c r="B585" t="s">
        <v>84</v>
      </c>
      <c r="C585" t="s">
        <v>24</v>
      </c>
      <c r="D585">
        <v>4</v>
      </c>
      <c r="E585">
        <v>23056</v>
      </c>
    </row>
    <row r="586" spans="1:5" x14ac:dyDescent="0.35">
      <c r="A586" s="2">
        <v>44287</v>
      </c>
      <c r="B586" t="s">
        <v>71</v>
      </c>
      <c r="C586" t="s">
        <v>24</v>
      </c>
      <c r="D586">
        <v>10</v>
      </c>
      <c r="E586">
        <v>2728</v>
      </c>
    </row>
    <row r="587" spans="1:5" x14ac:dyDescent="0.35">
      <c r="A587" s="2">
        <v>44287</v>
      </c>
      <c r="B587" t="s">
        <v>85</v>
      </c>
      <c r="C587" t="s">
        <v>24</v>
      </c>
      <c r="D587">
        <v>24</v>
      </c>
      <c r="E587">
        <v>7640</v>
      </c>
    </row>
    <row r="588" spans="1:5" x14ac:dyDescent="0.35">
      <c r="A588" s="2">
        <v>44317</v>
      </c>
      <c r="B588" t="s">
        <v>76</v>
      </c>
      <c r="C588" t="s">
        <v>24</v>
      </c>
      <c r="D588">
        <v>16</v>
      </c>
      <c r="E588">
        <v>5831</v>
      </c>
    </row>
    <row r="589" spans="1:5" x14ac:dyDescent="0.35">
      <c r="A589" s="2">
        <v>44317</v>
      </c>
      <c r="B589" t="s">
        <v>77</v>
      </c>
      <c r="C589" t="s">
        <v>24</v>
      </c>
      <c r="D589">
        <v>4</v>
      </c>
      <c r="E589">
        <v>393</v>
      </c>
    </row>
    <row r="590" spans="1:5" x14ac:dyDescent="0.35">
      <c r="A590" s="2">
        <v>44317</v>
      </c>
      <c r="B590" t="s">
        <v>78</v>
      </c>
      <c r="C590" t="s">
        <v>24</v>
      </c>
      <c r="D590">
        <v>29</v>
      </c>
      <c r="E590">
        <v>15959</v>
      </c>
    </row>
    <row r="591" spans="1:5" x14ac:dyDescent="0.35">
      <c r="A591" s="2">
        <v>44317</v>
      </c>
      <c r="B591" t="s">
        <v>79</v>
      </c>
      <c r="C591" t="s">
        <v>24</v>
      </c>
      <c r="D591">
        <v>2</v>
      </c>
      <c r="E591">
        <v>646</v>
      </c>
    </row>
    <row r="592" spans="1:5" x14ac:dyDescent="0.35">
      <c r="A592" s="2">
        <v>44317</v>
      </c>
      <c r="B592" t="s">
        <v>80</v>
      </c>
      <c r="C592" t="s">
        <v>24</v>
      </c>
      <c r="D592">
        <v>48</v>
      </c>
      <c r="E592">
        <v>5164</v>
      </c>
    </row>
    <row r="593" spans="1:5" x14ac:dyDescent="0.35">
      <c r="A593" s="2">
        <v>44317</v>
      </c>
      <c r="B593" t="s">
        <v>81</v>
      </c>
      <c r="C593" t="s">
        <v>24</v>
      </c>
      <c r="D593">
        <v>121</v>
      </c>
      <c r="E593">
        <v>13528</v>
      </c>
    </row>
    <row r="594" spans="1:5" x14ac:dyDescent="0.35">
      <c r="A594" s="2">
        <v>44317</v>
      </c>
      <c r="B594" t="s">
        <v>63</v>
      </c>
      <c r="C594" t="s">
        <v>24</v>
      </c>
      <c r="D594">
        <v>2</v>
      </c>
      <c r="E594">
        <v>119</v>
      </c>
    </row>
    <row r="595" spans="1:5" x14ac:dyDescent="0.35">
      <c r="A595" s="2">
        <v>44317</v>
      </c>
      <c r="B595" t="s">
        <v>82</v>
      </c>
      <c r="C595" t="s">
        <v>24</v>
      </c>
      <c r="D595">
        <v>7</v>
      </c>
      <c r="E595">
        <v>2756</v>
      </c>
    </row>
    <row r="596" spans="1:5" x14ac:dyDescent="0.35">
      <c r="A596" s="2">
        <v>44317</v>
      </c>
      <c r="B596" t="s">
        <v>83</v>
      </c>
      <c r="C596" t="s">
        <v>24</v>
      </c>
      <c r="D596">
        <v>14</v>
      </c>
      <c r="E596">
        <v>3413</v>
      </c>
    </row>
    <row r="597" spans="1:5" x14ac:dyDescent="0.35">
      <c r="A597" s="2">
        <v>44317</v>
      </c>
      <c r="B597" t="s">
        <v>84</v>
      </c>
      <c r="C597" t="s">
        <v>24</v>
      </c>
      <c r="D597">
        <v>3</v>
      </c>
      <c r="E597">
        <v>14016</v>
      </c>
    </row>
    <row r="598" spans="1:5" x14ac:dyDescent="0.35">
      <c r="A598" s="2">
        <v>44317</v>
      </c>
      <c r="B598" t="s">
        <v>85</v>
      </c>
      <c r="C598" t="s">
        <v>24</v>
      </c>
      <c r="D598">
        <v>6</v>
      </c>
      <c r="E598">
        <v>3962</v>
      </c>
    </row>
    <row r="599" spans="1:5" x14ac:dyDescent="0.35">
      <c r="A599" s="2">
        <v>44348</v>
      </c>
      <c r="B599" t="s">
        <v>76</v>
      </c>
      <c r="C599" t="s">
        <v>24</v>
      </c>
      <c r="D599">
        <v>39</v>
      </c>
      <c r="E599">
        <v>6098</v>
      </c>
    </row>
    <row r="600" spans="1:5" x14ac:dyDescent="0.35">
      <c r="A600" s="2">
        <v>44348</v>
      </c>
      <c r="B600" t="s">
        <v>65</v>
      </c>
      <c r="C600" t="s">
        <v>24</v>
      </c>
      <c r="D600">
        <v>4</v>
      </c>
      <c r="E600">
        <v>5692</v>
      </c>
    </row>
    <row r="601" spans="1:5" x14ac:dyDescent="0.35">
      <c r="A601" s="2">
        <v>44348</v>
      </c>
      <c r="B601" t="s">
        <v>66</v>
      </c>
      <c r="C601" t="s">
        <v>24</v>
      </c>
      <c r="D601">
        <v>12</v>
      </c>
      <c r="E601">
        <v>2050</v>
      </c>
    </row>
    <row r="602" spans="1:5" x14ac:dyDescent="0.35">
      <c r="A602" s="2">
        <v>44348</v>
      </c>
      <c r="B602" t="s">
        <v>55</v>
      </c>
      <c r="C602" t="s">
        <v>24</v>
      </c>
      <c r="D602">
        <v>5</v>
      </c>
      <c r="E602">
        <v>4526</v>
      </c>
    </row>
    <row r="603" spans="1:5" x14ac:dyDescent="0.35">
      <c r="A603" s="2">
        <v>44348</v>
      </c>
      <c r="B603" t="s">
        <v>67</v>
      </c>
      <c r="C603" t="s">
        <v>24</v>
      </c>
      <c r="D603">
        <v>148</v>
      </c>
      <c r="E603">
        <v>12914</v>
      </c>
    </row>
    <row r="604" spans="1:5" x14ac:dyDescent="0.35">
      <c r="A604" s="2">
        <v>44348</v>
      </c>
      <c r="B604" t="s">
        <v>77</v>
      </c>
      <c r="C604" t="s">
        <v>24</v>
      </c>
      <c r="D604">
        <v>14</v>
      </c>
      <c r="E604">
        <v>749</v>
      </c>
    </row>
    <row r="605" spans="1:5" x14ac:dyDescent="0.35">
      <c r="A605" s="2">
        <v>44348</v>
      </c>
      <c r="B605" t="s">
        <v>78</v>
      </c>
      <c r="C605" t="s">
        <v>24</v>
      </c>
      <c r="D605">
        <v>61</v>
      </c>
      <c r="E605">
        <v>19359</v>
      </c>
    </row>
    <row r="606" spans="1:5" x14ac:dyDescent="0.35">
      <c r="A606" s="2">
        <v>44348</v>
      </c>
      <c r="B606" t="s">
        <v>74</v>
      </c>
      <c r="C606" t="s">
        <v>24</v>
      </c>
      <c r="D606">
        <v>4</v>
      </c>
      <c r="E606">
        <v>13420</v>
      </c>
    </row>
    <row r="607" spans="1:5" x14ac:dyDescent="0.35">
      <c r="A607" s="2">
        <v>44348</v>
      </c>
      <c r="B607" t="s">
        <v>75</v>
      </c>
      <c r="C607" t="s">
        <v>24</v>
      </c>
      <c r="D607">
        <v>4</v>
      </c>
      <c r="E607">
        <v>4405</v>
      </c>
    </row>
    <row r="608" spans="1:5" x14ac:dyDescent="0.35">
      <c r="A608" s="2">
        <v>44348</v>
      </c>
      <c r="B608" t="s">
        <v>79</v>
      </c>
      <c r="C608" t="s">
        <v>24</v>
      </c>
      <c r="D608">
        <v>71</v>
      </c>
      <c r="E608">
        <v>8030</v>
      </c>
    </row>
    <row r="609" spans="1:5" x14ac:dyDescent="0.35">
      <c r="A609" s="2">
        <v>44348</v>
      </c>
      <c r="B609" t="s">
        <v>80</v>
      </c>
      <c r="C609" t="s">
        <v>24</v>
      </c>
      <c r="D609">
        <v>140</v>
      </c>
      <c r="E609">
        <v>10018</v>
      </c>
    </row>
    <row r="610" spans="1:5" x14ac:dyDescent="0.35">
      <c r="A610" s="2">
        <v>44348</v>
      </c>
      <c r="B610" t="s">
        <v>68</v>
      </c>
      <c r="C610" t="s">
        <v>24</v>
      </c>
      <c r="D610">
        <v>13</v>
      </c>
      <c r="E610">
        <v>12092</v>
      </c>
    </row>
    <row r="611" spans="1:5" x14ac:dyDescent="0.35">
      <c r="A611" s="2">
        <v>44348</v>
      </c>
      <c r="B611" t="s">
        <v>81</v>
      </c>
      <c r="C611" t="s">
        <v>24</v>
      </c>
      <c r="D611">
        <v>190</v>
      </c>
      <c r="E611">
        <v>24817</v>
      </c>
    </row>
    <row r="612" spans="1:5" x14ac:dyDescent="0.35">
      <c r="A612" s="2">
        <v>44348</v>
      </c>
      <c r="B612" t="s">
        <v>69</v>
      </c>
      <c r="C612" t="s">
        <v>24</v>
      </c>
      <c r="D612">
        <v>2</v>
      </c>
      <c r="E612">
        <v>3041</v>
      </c>
    </row>
    <row r="613" spans="1:5" x14ac:dyDescent="0.35">
      <c r="A613" s="2">
        <v>44348</v>
      </c>
      <c r="B613" t="s">
        <v>70</v>
      </c>
      <c r="C613" t="s">
        <v>24</v>
      </c>
      <c r="D613">
        <v>3</v>
      </c>
      <c r="E613">
        <v>7126</v>
      </c>
    </row>
    <row r="614" spans="1:5" x14ac:dyDescent="0.35">
      <c r="A614" s="2">
        <v>44348</v>
      </c>
      <c r="B614" t="s">
        <v>82</v>
      </c>
      <c r="C614" t="s">
        <v>24</v>
      </c>
      <c r="D614">
        <v>34</v>
      </c>
      <c r="E614">
        <v>12070</v>
      </c>
    </row>
    <row r="615" spans="1:5" x14ac:dyDescent="0.35">
      <c r="A615" s="2">
        <v>44348</v>
      </c>
      <c r="B615" t="s">
        <v>83</v>
      </c>
      <c r="C615" t="s">
        <v>24</v>
      </c>
      <c r="D615">
        <v>42</v>
      </c>
      <c r="E615">
        <v>7793</v>
      </c>
    </row>
    <row r="616" spans="1:5" x14ac:dyDescent="0.35">
      <c r="A616" s="2">
        <v>44348</v>
      </c>
      <c r="B616" t="s">
        <v>84</v>
      </c>
      <c r="C616" t="s">
        <v>24</v>
      </c>
      <c r="D616">
        <v>3</v>
      </c>
      <c r="E616">
        <v>25704</v>
      </c>
    </row>
    <row r="617" spans="1:5" x14ac:dyDescent="0.35">
      <c r="A617" s="2">
        <v>44348</v>
      </c>
      <c r="B617" t="s">
        <v>71</v>
      </c>
      <c r="C617" t="s">
        <v>24</v>
      </c>
      <c r="D617">
        <v>7</v>
      </c>
      <c r="E617">
        <v>2972</v>
      </c>
    </row>
    <row r="618" spans="1:5" x14ac:dyDescent="0.35">
      <c r="A618" s="2">
        <v>44348</v>
      </c>
      <c r="B618" t="s">
        <v>85</v>
      </c>
      <c r="C618" t="s">
        <v>24</v>
      </c>
      <c r="D618">
        <v>18</v>
      </c>
      <c r="E618">
        <v>6316</v>
      </c>
    </row>
    <row r="619" spans="1:5" x14ac:dyDescent="0.35">
      <c r="A619" s="2">
        <v>44378</v>
      </c>
      <c r="B619" t="s">
        <v>52</v>
      </c>
      <c r="C619" t="s">
        <v>24</v>
      </c>
      <c r="D619">
        <v>8</v>
      </c>
      <c r="E619">
        <v>176</v>
      </c>
    </row>
    <row r="620" spans="1:5" x14ac:dyDescent="0.35">
      <c r="A620" s="2">
        <v>44378</v>
      </c>
      <c r="B620" t="s">
        <v>76</v>
      </c>
      <c r="C620" t="s">
        <v>24</v>
      </c>
      <c r="D620">
        <v>36</v>
      </c>
      <c r="E620">
        <v>7877</v>
      </c>
    </row>
    <row r="621" spans="1:5" x14ac:dyDescent="0.35">
      <c r="A621" s="2">
        <v>44378</v>
      </c>
      <c r="B621" t="s">
        <v>65</v>
      </c>
      <c r="C621" t="s">
        <v>24</v>
      </c>
      <c r="D621">
        <v>5</v>
      </c>
      <c r="E621">
        <v>5438</v>
      </c>
    </row>
    <row r="622" spans="1:5" x14ac:dyDescent="0.35">
      <c r="A622" s="2">
        <v>44378</v>
      </c>
      <c r="B622" t="s">
        <v>66</v>
      </c>
      <c r="C622" t="s">
        <v>24</v>
      </c>
      <c r="D622">
        <v>9</v>
      </c>
      <c r="E622">
        <v>1916</v>
      </c>
    </row>
    <row r="623" spans="1:5" x14ac:dyDescent="0.35">
      <c r="A623" s="2">
        <v>44378</v>
      </c>
      <c r="B623" t="s">
        <v>55</v>
      </c>
      <c r="C623" t="s">
        <v>24</v>
      </c>
      <c r="D623">
        <v>12</v>
      </c>
      <c r="E623">
        <v>4916</v>
      </c>
    </row>
    <row r="624" spans="1:5" x14ac:dyDescent="0.35">
      <c r="A624" s="2">
        <v>44378</v>
      </c>
      <c r="B624" t="s">
        <v>67</v>
      </c>
      <c r="C624" t="s">
        <v>24</v>
      </c>
      <c r="D624">
        <v>131</v>
      </c>
      <c r="E624">
        <v>15033</v>
      </c>
    </row>
    <row r="625" spans="1:5" x14ac:dyDescent="0.35">
      <c r="A625" s="2">
        <v>44378</v>
      </c>
      <c r="B625" t="s">
        <v>77</v>
      </c>
      <c r="C625" t="s">
        <v>24</v>
      </c>
      <c r="D625">
        <v>10</v>
      </c>
      <c r="E625">
        <v>982</v>
      </c>
    </row>
    <row r="626" spans="1:5" x14ac:dyDescent="0.35">
      <c r="A626" s="2">
        <v>44378</v>
      </c>
      <c r="B626" t="s">
        <v>78</v>
      </c>
      <c r="C626" t="s">
        <v>24</v>
      </c>
      <c r="D626">
        <v>53</v>
      </c>
      <c r="E626">
        <v>23792</v>
      </c>
    </row>
    <row r="627" spans="1:5" x14ac:dyDescent="0.35">
      <c r="A627" s="2">
        <v>44378</v>
      </c>
      <c r="B627" t="s">
        <v>74</v>
      </c>
      <c r="C627" t="s">
        <v>24</v>
      </c>
      <c r="D627">
        <v>6</v>
      </c>
      <c r="E627">
        <v>14524</v>
      </c>
    </row>
    <row r="628" spans="1:5" x14ac:dyDescent="0.35">
      <c r="A628" s="2">
        <v>44378</v>
      </c>
      <c r="B628" t="s">
        <v>72</v>
      </c>
      <c r="C628" t="s">
        <v>24</v>
      </c>
      <c r="D628">
        <v>2</v>
      </c>
      <c r="E628">
        <v>3811</v>
      </c>
    </row>
    <row r="629" spans="1:5" x14ac:dyDescent="0.35">
      <c r="A629" s="2">
        <v>44378</v>
      </c>
      <c r="B629" t="s">
        <v>75</v>
      </c>
      <c r="C629" t="s">
        <v>24</v>
      </c>
      <c r="D629">
        <v>4</v>
      </c>
      <c r="E629">
        <v>5020</v>
      </c>
    </row>
    <row r="630" spans="1:5" x14ac:dyDescent="0.35">
      <c r="A630" s="2">
        <v>44378</v>
      </c>
      <c r="B630" t="s">
        <v>79</v>
      </c>
      <c r="C630" t="s">
        <v>24</v>
      </c>
      <c r="D630">
        <v>196</v>
      </c>
      <c r="E630">
        <v>21640</v>
      </c>
    </row>
    <row r="631" spans="1:5" x14ac:dyDescent="0.35">
      <c r="A631" s="2">
        <v>44378</v>
      </c>
      <c r="B631" t="s">
        <v>80</v>
      </c>
      <c r="C631" t="s">
        <v>24</v>
      </c>
      <c r="D631">
        <v>139</v>
      </c>
      <c r="E631">
        <v>18406</v>
      </c>
    </row>
    <row r="632" spans="1:5" x14ac:dyDescent="0.35">
      <c r="A632" s="2">
        <v>44378</v>
      </c>
      <c r="B632" t="s">
        <v>68</v>
      </c>
      <c r="C632" t="s">
        <v>24</v>
      </c>
      <c r="D632">
        <v>17</v>
      </c>
      <c r="E632">
        <v>14581</v>
      </c>
    </row>
    <row r="633" spans="1:5" x14ac:dyDescent="0.35">
      <c r="A633" s="2">
        <v>44378</v>
      </c>
      <c r="B633" t="s">
        <v>81</v>
      </c>
      <c r="C633" t="s">
        <v>24</v>
      </c>
      <c r="D633">
        <v>286</v>
      </c>
      <c r="E633">
        <v>38063</v>
      </c>
    </row>
    <row r="634" spans="1:5" x14ac:dyDescent="0.35">
      <c r="A634" s="2">
        <v>44378</v>
      </c>
      <c r="B634" t="s">
        <v>69</v>
      </c>
      <c r="C634" t="s">
        <v>24</v>
      </c>
      <c r="D634">
        <v>3</v>
      </c>
      <c r="E634">
        <v>5552</v>
      </c>
    </row>
    <row r="635" spans="1:5" x14ac:dyDescent="0.35">
      <c r="A635" s="2">
        <v>44378</v>
      </c>
      <c r="B635" t="s">
        <v>70</v>
      </c>
      <c r="C635" t="s">
        <v>24</v>
      </c>
      <c r="D635">
        <v>3</v>
      </c>
      <c r="E635">
        <v>9328</v>
      </c>
    </row>
    <row r="636" spans="1:5" x14ac:dyDescent="0.35">
      <c r="A636" s="2">
        <v>44378</v>
      </c>
      <c r="B636" t="s">
        <v>82</v>
      </c>
      <c r="C636" t="s">
        <v>24</v>
      </c>
      <c r="D636">
        <v>52</v>
      </c>
      <c r="E636">
        <v>14374</v>
      </c>
    </row>
    <row r="637" spans="1:5" x14ac:dyDescent="0.35">
      <c r="A637" s="2">
        <v>44378</v>
      </c>
      <c r="B637" t="s">
        <v>83</v>
      </c>
      <c r="C637" t="s">
        <v>24</v>
      </c>
      <c r="D637">
        <v>88</v>
      </c>
      <c r="E637">
        <v>20857</v>
      </c>
    </row>
    <row r="638" spans="1:5" x14ac:dyDescent="0.35">
      <c r="A638" s="2">
        <v>44378</v>
      </c>
      <c r="B638" t="s">
        <v>84</v>
      </c>
      <c r="C638" t="s">
        <v>24</v>
      </c>
      <c r="D638">
        <v>8</v>
      </c>
      <c r="E638">
        <v>27999</v>
      </c>
    </row>
    <row r="639" spans="1:5" x14ac:dyDescent="0.35">
      <c r="A639" s="2">
        <v>44378</v>
      </c>
      <c r="B639" t="s">
        <v>71</v>
      </c>
      <c r="C639" t="s">
        <v>24</v>
      </c>
      <c r="D639">
        <v>11</v>
      </c>
      <c r="E639">
        <v>4182</v>
      </c>
    </row>
    <row r="640" spans="1:5" x14ac:dyDescent="0.35">
      <c r="A640" s="2">
        <v>44378</v>
      </c>
      <c r="B640" t="s">
        <v>85</v>
      </c>
      <c r="C640" t="s">
        <v>24</v>
      </c>
      <c r="D640">
        <v>37</v>
      </c>
      <c r="E640">
        <v>8919</v>
      </c>
    </row>
    <row r="641" spans="1:5" x14ac:dyDescent="0.35">
      <c r="A641" s="2">
        <v>44409</v>
      </c>
      <c r="B641" t="s">
        <v>76</v>
      </c>
      <c r="C641" t="s">
        <v>24</v>
      </c>
      <c r="D641">
        <v>78</v>
      </c>
      <c r="E641">
        <v>8245</v>
      </c>
    </row>
    <row r="642" spans="1:5" x14ac:dyDescent="0.35">
      <c r="A642" s="2">
        <v>44409</v>
      </c>
      <c r="B642" t="s">
        <v>54</v>
      </c>
      <c r="C642" t="s">
        <v>24</v>
      </c>
      <c r="D642">
        <v>2</v>
      </c>
      <c r="E642">
        <v>6447</v>
      </c>
    </row>
    <row r="643" spans="1:5" x14ac:dyDescent="0.35">
      <c r="A643" s="2">
        <v>44409</v>
      </c>
      <c r="B643" t="s">
        <v>65</v>
      </c>
      <c r="C643" t="s">
        <v>24</v>
      </c>
      <c r="D643">
        <v>7</v>
      </c>
      <c r="E643">
        <v>5724</v>
      </c>
    </row>
    <row r="644" spans="1:5" x14ac:dyDescent="0.35">
      <c r="A644" s="2">
        <v>44409</v>
      </c>
      <c r="B644" t="s">
        <v>66</v>
      </c>
      <c r="C644" t="s">
        <v>24</v>
      </c>
      <c r="D644">
        <v>9</v>
      </c>
      <c r="E644">
        <v>1845</v>
      </c>
    </row>
    <row r="645" spans="1:5" x14ac:dyDescent="0.35">
      <c r="A645" s="2">
        <v>44409</v>
      </c>
      <c r="B645" t="s">
        <v>55</v>
      </c>
      <c r="C645" t="s">
        <v>24</v>
      </c>
      <c r="D645">
        <v>11</v>
      </c>
      <c r="E645">
        <v>4350</v>
      </c>
    </row>
    <row r="646" spans="1:5" x14ac:dyDescent="0.35">
      <c r="A646" s="2">
        <v>44409</v>
      </c>
      <c r="B646" t="s">
        <v>67</v>
      </c>
      <c r="C646" t="s">
        <v>24</v>
      </c>
      <c r="D646">
        <v>157</v>
      </c>
      <c r="E646">
        <v>13177</v>
      </c>
    </row>
    <row r="647" spans="1:5" x14ac:dyDescent="0.35">
      <c r="A647" s="2">
        <v>44409</v>
      </c>
      <c r="B647" t="s">
        <v>77</v>
      </c>
      <c r="C647" t="s">
        <v>24</v>
      </c>
      <c r="D647">
        <v>19</v>
      </c>
      <c r="E647">
        <v>1439</v>
      </c>
    </row>
    <row r="648" spans="1:5" x14ac:dyDescent="0.35">
      <c r="A648" s="2">
        <v>44409</v>
      </c>
      <c r="B648" t="s">
        <v>78</v>
      </c>
      <c r="C648" t="s">
        <v>24</v>
      </c>
      <c r="D648">
        <v>83</v>
      </c>
      <c r="E648">
        <v>20394</v>
      </c>
    </row>
    <row r="649" spans="1:5" x14ac:dyDescent="0.35">
      <c r="A649" s="2">
        <v>44409</v>
      </c>
      <c r="B649" t="s">
        <v>74</v>
      </c>
      <c r="C649" t="s">
        <v>24</v>
      </c>
      <c r="D649">
        <v>3</v>
      </c>
      <c r="E649">
        <v>16027</v>
      </c>
    </row>
    <row r="650" spans="1:5" x14ac:dyDescent="0.35">
      <c r="A650" s="2">
        <v>44409</v>
      </c>
      <c r="B650" t="s">
        <v>75</v>
      </c>
      <c r="C650" t="s">
        <v>24</v>
      </c>
      <c r="D650">
        <v>3</v>
      </c>
      <c r="E650">
        <v>5113</v>
      </c>
    </row>
    <row r="651" spans="1:5" x14ac:dyDescent="0.35">
      <c r="A651" s="2">
        <v>44409</v>
      </c>
      <c r="B651" t="s">
        <v>79</v>
      </c>
      <c r="C651" t="s">
        <v>24</v>
      </c>
      <c r="D651">
        <v>137</v>
      </c>
      <c r="E651">
        <v>21975</v>
      </c>
    </row>
    <row r="652" spans="1:5" x14ac:dyDescent="0.35">
      <c r="A652" s="2">
        <v>44409</v>
      </c>
      <c r="B652" t="s">
        <v>80</v>
      </c>
      <c r="C652" t="s">
        <v>24</v>
      </c>
      <c r="D652">
        <v>183</v>
      </c>
      <c r="E652">
        <v>22813</v>
      </c>
    </row>
    <row r="653" spans="1:5" x14ac:dyDescent="0.35">
      <c r="A653" s="2">
        <v>44409</v>
      </c>
      <c r="B653" t="s">
        <v>68</v>
      </c>
      <c r="C653" t="s">
        <v>24</v>
      </c>
      <c r="D653">
        <v>26</v>
      </c>
      <c r="E653">
        <v>12758</v>
      </c>
    </row>
    <row r="654" spans="1:5" x14ac:dyDescent="0.35">
      <c r="A654" s="2">
        <v>44409</v>
      </c>
      <c r="B654" t="s">
        <v>81</v>
      </c>
      <c r="C654" t="s">
        <v>24</v>
      </c>
      <c r="D654">
        <v>197</v>
      </c>
      <c r="E654">
        <v>35127</v>
      </c>
    </row>
    <row r="655" spans="1:5" x14ac:dyDescent="0.35">
      <c r="A655" s="2">
        <v>44409</v>
      </c>
      <c r="B655" t="s">
        <v>69</v>
      </c>
      <c r="C655" t="s">
        <v>24</v>
      </c>
      <c r="D655">
        <v>4</v>
      </c>
      <c r="E655">
        <v>5453</v>
      </c>
    </row>
    <row r="656" spans="1:5" x14ac:dyDescent="0.35">
      <c r="A656" s="2">
        <v>44409</v>
      </c>
      <c r="B656" t="s">
        <v>70</v>
      </c>
      <c r="C656" t="s">
        <v>24</v>
      </c>
      <c r="D656">
        <v>4</v>
      </c>
      <c r="E656">
        <v>9209</v>
      </c>
    </row>
    <row r="657" spans="1:5" x14ac:dyDescent="0.35">
      <c r="A657" s="2">
        <v>44409</v>
      </c>
      <c r="B657" t="s">
        <v>82</v>
      </c>
      <c r="C657" t="s">
        <v>24</v>
      </c>
      <c r="D657">
        <v>53</v>
      </c>
      <c r="E657">
        <v>11454</v>
      </c>
    </row>
    <row r="658" spans="1:5" x14ac:dyDescent="0.35">
      <c r="A658" s="2">
        <v>44409</v>
      </c>
      <c r="B658" t="s">
        <v>83</v>
      </c>
      <c r="C658" t="s">
        <v>24</v>
      </c>
      <c r="D658">
        <v>88</v>
      </c>
      <c r="E658">
        <v>20865</v>
      </c>
    </row>
    <row r="659" spans="1:5" x14ac:dyDescent="0.35">
      <c r="A659" s="2">
        <v>44409</v>
      </c>
      <c r="B659" t="s">
        <v>84</v>
      </c>
      <c r="C659" t="s">
        <v>24</v>
      </c>
      <c r="D659">
        <v>3</v>
      </c>
      <c r="E659">
        <v>24012</v>
      </c>
    </row>
    <row r="660" spans="1:5" x14ac:dyDescent="0.35">
      <c r="A660" s="2">
        <v>44409</v>
      </c>
      <c r="B660" t="s">
        <v>71</v>
      </c>
      <c r="C660" t="s">
        <v>24</v>
      </c>
      <c r="D660">
        <v>6</v>
      </c>
      <c r="E660">
        <v>3760</v>
      </c>
    </row>
    <row r="661" spans="1:5" x14ac:dyDescent="0.35">
      <c r="A661" s="2">
        <v>44409</v>
      </c>
      <c r="B661" t="s">
        <v>85</v>
      </c>
      <c r="C661" t="s">
        <v>24</v>
      </c>
      <c r="D661">
        <v>28</v>
      </c>
      <c r="E661">
        <v>9198</v>
      </c>
    </row>
    <row r="662" spans="1:5" x14ac:dyDescent="0.35">
      <c r="A662" s="2">
        <v>44440</v>
      </c>
      <c r="B662" t="s">
        <v>76</v>
      </c>
      <c r="C662" t="s">
        <v>24</v>
      </c>
      <c r="D662">
        <v>39</v>
      </c>
      <c r="E662">
        <v>7952</v>
      </c>
    </row>
    <row r="663" spans="1:5" x14ac:dyDescent="0.35">
      <c r="A663" s="2">
        <v>44440</v>
      </c>
      <c r="B663" t="s">
        <v>65</v>
      </c>
      <c r="C663" t="s">
        <v>24</v>
      </c>
      <c r="D663">
        <v>4</v>
      </c>
      <c r="E663">
        <v>4339</v>
      </c>
    </row>
    <row r="664" spans="1:5" x14ac:dyDescent="0.35">
      <c r="A664" s="2">
        <v>44440</v>
      </c>
      <c r="B664" t="s">
        <v>66</v>
      </c>
      <c r="C664" t="s">
        <v>24</v>
      </c>
      <c r="D664">
        <v>20</v>
      </c>
      <c r="E664">
        <v>1607</v>
      </c>
    </row>
    <row r="665" spans="1:5" x14ac:dyDescent="0.35">
      <c r="A665" s="2">
        <v>44440</v>
      </c>
      <c r="B665" t="s">
        <v>55</v>
      </c>
      <c r="C665" t="s">
        <v>24</v>
      </c>
      <c r="D665">
        <v>12</v>
      </c>
      <c r="E665">
        <v>3650</v>
      </c>
    </row>
    <row r="666" spans="1:5" x14ac:dyDescent="0.35">
      <c r="A666" s="2">
        <v>44440</v>
      </c>
      <c r="B666" t="s">
        <v>67</v>
      </c>
      <c r="C666" t="s">
        <v>24</v>
      </c>
      <c r="D666">
        <v>265</v>
      </c>
      <c r="E666">
        <v>9181</v>
      </c>
    </row>
    <row r="667" spans="1:5" x14ac:dyDescent="0.35">
      <c r="A667" s="2">
        <v>44440</v>
      </c>
      <c r="B667" t="s">
        <v>77</v>
      </c>
      <c r="C667" t="s">
        <v>24</v>
      </c>
      <c r="D667">
        <v>34</v>
      </c>
      <c r="E667">
        <v>1277</v>
      </c>
    </row>
    <row r="668" spans="1:5" x14ac:dyDescent="0.35">
      <c r="A668" s="2">
        <v>44440</v>
      </c>
      <c r="B668" t="s">
        <v>78</v>
      </c>
      <c r="C668" t="s">
        <v>24</v>
      </c>
      <c r="D668">
        <v>131</v>
      </c>
      <c r="E668">
        <v>24797</v>
      </c>
    </row>
    <row r="669" spans="1:5" x14ac:dyDescent="0.35">
      <c r="A669" s="2">
        <v>44440</v>
      </c>
      <c r="B669" t="s">
        <v>74</v>
      </c>
      <c r="C669" t="s">
        <v>24</v>
      </c>
      <c r="D669">
        <v>7</v>
      </c>
      <c r="E669">
        <v>14879</v>
      </c>
    </row>
    <row r="670" spans="1:5" x14ac:dyDescent="0.35">
      <c r="A670" s="2">
        <v>44440</v>
      </c>
      <c r="B670" t="s">
        <v>75</v>
      </c>
      <c r="C670" t="s">
        <v>24</v>
      </c>
      <c r="D670">
        <v>12</v>
      </c>
      <c r="E670">
        <v>3892</v>
      </c>
    </row>
    <row r="671" spans="1:5" x14ac:dyDescent="0.35">
      <c r="A671" s="2">
        <v>44440</v>
      </c>
      <c r="B671" t="s">
        <v>79</v>
      </c>
      <c r="C671" t="s">
        <v>24</v>
      </c>
      <c r="D671">
        <v>227</v>
      </c>
      <c r="E671">
        <v>21407</v>
      </c>
    </row>
    <row r="672" spans="1:5" x14ac:dyDescent="0.35">
      <c r="A672" s="2">
        <v>44440</v>
      </c>
      <c r="B672" t="s">
        <v>80</v>
      </c>
      <c r="C672" t="s">
        <v>24</v>
      </c>
      <c r="D672">
        <v>164</v>
      </c>
      <c r="E672">
        <v>22063</v>
      </c>
    </row>
    <row r="673" spans="1:5" x14ac:dyDescent="0.35">
      <c r="A673" s="2">
        <v>44440</v>
      </c>
      <c r="B673" t="s">
        <v>68</v>
      </c>
      <c r="C673" t="s">
        <v>24</v>
      </c>
      <c r="D673">
        <v>23</v>
      </c>
      <c r="E673">
        <v>11756</v>
      </c>
    </row>
    <row r="674" spans="1:5" x14ac:dyDescent="0.35">
      <c r="A674" s="2">
        <v>44440</v>
      </c>
      <c r="B674" t="s">
        <v>81</v>
      </c>
      <c r="C674" t="s">
        <v>24</v>
      </c>
      <c r="D674">
        <v>148</v>
      </c>
      <c r="E674">
        <v>27900</v>
      </c>
    </row>
    <row r="675" spans="1:5" x14ac:dyDescent="0.35">
      <c r="A675" s="2">
        <v>44440</v>
      </c>
      <c r="B675" t="s">
        <v>69</v>
      </c>
      <c r="C675" t="s">
        <v>24</v>
      </c>
      <c r="D675">
        <v>2</v>
      </c>
      <c r="E675">
        <v>4865</v>
      </c>
    </row>
    <row r="676" spans="1:5" x14ac:dyDescent="0.35">
      <c r="A676" s="2">
        <v>44440</v>
      </c>
      <c r="B676" t="s">
        <v>63</v>
      </c>
      <c r="C676" t="s">
        <v>24</v>
      </c>
      <c r="D676">
        <v>2</v>
      </c>
      <c r="E676">
        <v>640</v>
      </c>
    </row>
    <row r="677" spans="1:5" x14ac:dyDescent="0.35">
      <c r="A677" s="2">
        <v>44440</v>
      </c>
      <c r="B677" t="s">
        <v>70</v>
      </c>
      <c r="C677" t="s">
        <v>24</v>
      </c>
      <c r="D677">
        <v>3</v>
      </c>
      <c r="E677">
        <v>7521</v>
      </c>
    </row>
    <row r="678" spans="1:5" x14ac:dyDescent="0.35">
      <c r="A678" s="2">
        <v>44440</v>
      </c>
      <c r="B678" t="s">
        <v>82</v>
      </c>
      <c r="C678" t="s">
        <v>24</v>
      </c>
      <c r="D678">
        <v>69</v>
      </c>
      <c r="E678">
        <v>11035</v>
      </c>
    </row>
    <row r="679" spans="1:5" x14ac:dyDescent="0.35">
      <c r="A679" s="2">
        <v>44440</v>
      </c>
      <c r="B679" t="s">
        <v>83</v>
      </c>
      <c r="C679" t="s">
        <v>24</v>
      </c>
      <c r="D679">
        <v>107</v>
      </c>
      <c r="E679">
        <v>18823</v>
      </c>
    </row>
    <row r="680" spans="1:5" x14ac:dyDescent="0.35">
      <c r="A680" s="2">
        <v>44440</v>
      </c>
      <c r="B680" t="s">
        <v>84</v>
      </c>
      <c r="C680" t="s">
        <v>24</v>
      </c>
      <c r="D680">
        <v>4</v>
      </c>
      <c r="E680">
        <v>23510</v>
      </c>
    </row>
    <row r="681" spans="1:5" x14ac:dyDescent="0.35">
      <c r="A681" s="2">
        <v>44440</v>
      </c>
      <c r="B681" t="s">
        <v>71</v>
      </c>
      <c r="C681" t="s">
        <v>24</v>
      </c>
      <c r="D681">
        <v>10</v>
      </c>
      <c r="E681">
        <v>3171</v>
      </c>
    </row>
    <row r="682" spans="1:5" x14ac:dyDescent="0.35">
      <c r="A682" s="2">
        <v>44440</v>
      </c>
      <c r="B682" t="s">
        <v>85</v>
      </c>
      <c r="C682" t="s">
        <v>24</v>
      </c>
      <c r="D682">
        <v>34</v>
      </c>
      <c r="E682">
        <v>9437</v>
      </c>
    </row>
    <row r="683" spans="1:5" x14ac:dyDescent="0.35">
      <c r="A683" s="2">
        <v>44470</v>
      </c>
      <c r="B683" t="s">
        <v>76</v>
      </c>
      <c r="C683" t="s">
        <v>24</v>
      </c>
      <c r="D683">
        <v>37</v>
      </c>
      <c r="E683">
        <v>7366</v>
      </c>
    </row>
    <row r="684" spans="1:5" x14ac:dyDescent="0.35">
      <c r="A684" s="2">
        <v>44470</v>
      </c>
      <c r="B684" t="s">
        <v>65</v>
      </c>
      <c r="C684" t="s">
        <v>24</v>
      </c>
      <c r="D684">
        <v>7</v>
      </c>
      <c r="E684">
        <v>5838</v>
      </c>
    </row>
    <row r="685" spans="1:5" x14ac:dyDescent="0.35">
      <c r="A685" s="2">
        <v>44470</v>
      </c>
      <c r="B685" t="s">
        <v>66</v>
      </c>
      <c r="C685" t="s">
        <v>24</v>
      </c>
      <c r="D685">
        <v>12</v>
      </c>
      <c r="E685">
        <v>1816</v>
      </c>
    </row>
    <row r="686" spans="1:5" x14ac:dyDescent="0.35">
      <c r="A686" s="2">
        <v>44470</v>
      </c>
      <c r="B686" t="s">
        <v>55</v>
      </c>
      <c r="C686" t="s">
        <v>24</v>
      </c>
      <c r="D686">
        <v>11</v>
      </c>
      <c r="E686">
        <v>5255</v>
      </c>
    </row>
    <row r="687" spans="1:5" x14ac:dyDescent="0.35">
      <c r="A687" s="2">
        <v>44470</v>
      </c>
      <c r="B687" t="s">
        <v>67</v>
      </c>
      <c r="C687" t="s">
        <v>24</v>
      </c>
      <c r="D687">
        <v>253</v>
      </c>
      <c r="E687">
        <v>12876</v>
      </c>
    </row>
    <row r="688" spans="1:5" x14ac:dyDescent="0.35">
      <c r="A688" s="2">
        <v>44470</v>
      </c>
      <c r="B688" t="s">
        <v>77</v>
      </c>
      <c r="C688" t="s">
        <v>24</v>
      </c>
      <c r="D688">
        <v>28</v>
      </c>
      <c r="E688">
        <v>1165</v>
      </c>
    </row>
    <row r="689" spans="1:5" x14ac:dyDescent="0.35">
      <c r="A689" s="2">
        <v>44470</v>
      </c>
      <c r="B689" t="s">
        <v>78</v>
      </c>
      <c r="C689" t="s">
        <v>24</v>
      </c>
      <c r="D689">
        <v>104</v>
      </c>
      <c r="E689">
        <v>23184</v>
      </c>
    </row>
    <row r="690" spans="1:5" x14ac:dyDescent="0.35">
      <c r="A690" s="2">
        <v>44470</v>
      </c>
      <c r="B690" t="s">
        <v>74</v>
      </c>
      <c r="C690" t="s">
        <v>24</v>
      </c>
      <c r="D690">
        <v>8</v>
      </c>
      <c r="E690">
        <v>11634</v>
      </c>
    </row>
    <row r="691" spans="1:5" x14ac:dyDescent="0.35">
      <c r="A691" s="2">
        <v>44470</v>
      </c>
      <c r="B691" t="s">
        <v>57</v>
      </c>
      <c r="C691" t="s">
        <v>24</v>
      </c>
      <c r="D691">
        <v>2</v>
      </c>
      <c r="E691">
        <v>4205</v>
      </c>
    </row>
    <row r="692" spans="1:5" x14ac:dyDescent="0.35">
      <c r="A692" s="2">
        <v>44470</v>
      </c>
      <c r="B692" t="s">
        <v>75</v>
      </c>
      <c r="C692" t="s">
        <v>24</v>
      </c>
      <c r="D692">
        <v>5</v>
      </c>
      <c r="E692">
        <v>4806</v>
      </c>
    </row>
    <row r="693" spans="1:5" x14ac:dyDescent="0.35">
      <c r="A693" s="2">
        <v>44470</v>
      </c>
      <c r="B693" t="s">
        <v>79</v>
      </c>
      <c r="C693" t="s">
        <v>24</v>
      </c>
      <c r="D693">
        <v>163</v>
      </c>
      <c r="E693">
        <v>18505</v>
      </c>
    </row>
    <row r="694" spans="1:5" x14ac:dyDescent="0.35">
      <c r="A694" s="2">
        <v>44470</v>
      </c>
      <c r="B694" t="s">
        <v>80</v>
      </c>
      <c r="C694" t="s">
        <v>24</v>
      </c>
      <c r="D694">
        <v>158</v>
      </c>
      <c r="E694">
        <v>14562</v>
      </c>
    </row>
    <row r="695" spans="1:5" x14ac:dyDescent="0.35">
      <c r="A695" s="2">
        <v>44470</v>
      </c>
      <c r="B695" t="s">
        <v>68</v>
      </c>
      <c r="C695" t="s">
        <v>24</v>
      </c>
      <c r="D695">
        <v>20</v>
      </c>
      <c r="E695">
        <v>9554</v>
      </c>
    </row>
    <row r="696" spans="1:5" x14ac:dyDescent="0.35">
      <c r="A696" s="2">
        <v>44470</v>
      </c>
      <c r="B696" t="s">
        <v>81</v>
      </c>
      <c r="C696" t="s">
        <v>24</v>
      </c>
      <c r="D696">
        <v>298</v>
      </c>
      <c r="E696">
        <v>33771</v>
      </c>
    </row>
    <row r="697" spans="1:5" x14ac:dyDescent="0.35">
      <c r="A697" s="2">
        <v>44470</v>
      </c>
      <c r="B697" t="s">
        <v>69</v>
      </c>
      <c r="C697" t="s">
        <v>24</v>
      </c>
      <c r="D697">
        <v>2</v>
      </c>
      <c r="E697">
        <v>5830</v>
      </c>
    </row>
    <row r="698" spans="1:5" x14ac:dyDescent="0.35">
      <c r="A698" s="2">
        <v>44470</v>
      </c>
      <c r="B698" t="s">
        <v>70</v>
      </c>
      <c r="C698" t="s">
        <v>24</v>
      </c>
      <c r="D698">
        <v>5</v>
      </c>
      <c r="E698">
        <v>8523</v>
      </c>
    </row>
    <row r="699" spans="1:5" x14ac:dyDescent="0.35">
      <c r="A699" s="2">
        <v>44470</v>
      </c>
      <c r="B699" t="s">
        <v>82</v>
      </c>
      <c r="C699" t="s">
        <v>24</v>
      </c>
      <c r="D699">
        <v>86</v>
      </c>
      <c r="E699">
        <v>12823</v>
      </c>
    </row>
    <row r="700" spans="1:5" x14ac:dyDescent="0.35">
      <c r="A700" s="2">
        <v>44470</v>
      </c>
      <c r="B700" t="s">
        <v>83</v>
      </c>
      <c r="C700" t="s">
        <v>24</v>
      </c>
      <c r="D700">
        <v>119</v>
      </c>
      <c r="E700">
        <v>14796</v>
      </c>
    </row>
    <row r="701" spans="1:5" x14ac:dyDescent="0.35">
      <c r="A701" s="2">
        <v>44470</v>
      </c>
      <c r="B701" t="s">
        <v>84</v>
      </c>
      <c r="C701" t="s">
        <v>24</v>
      </c>
      <c r="D701">
        <v>10</v>
      </c>
      <c r="E701">
        <v>23095</v>
      </c>
    </row>
    <row r="702" spans="1:5" x14ac:dyDescent="0.35">
      <c r="A702" s="2">
        <v>44470</v>
      </c>
      <c r="B702" t="s">
        <v>71</v>
      </c>
      <c r="C702" t="s">
        <v>24</v>
      </c>
      <c r="D702">
        <v>13</v>
      </c>
      <c r="E702">
        <v>3523</v>
      </c>
    </row>
    <row r="703" spans="1:5" x14ac:dyDescent="0.35">
      <c r="A703" s="2">
        <v>44470</v>
      </c>
      <c r="B703" t="s">
        <v>85</v>
      </c>
      <c r="C703" t="s">
        <v>24</v>
      </c>
      <c r="D703">
        <v>33</v>
      </c>
      <c r="E703">
        <v>7120</v>
      </c>
    </row>
    <row r="704" spans="1:5" x14ac:dyDescent="0.35">
      <c r="A704" s="2">
        <v>44501</v>
      </c>
      <c r="B704" t="s">
        <v>76</v>
      </c>
      <c r="C704" t="s">
        <v>24</v>
      </c>
      <c r="D704">
        <v>34</v>
      </c>
      <c r="E704">
        <v>7374</v>
      </c>
    </row>
    <row r="705" spans="1:5" x14ac:dyDescent="0.35">
      <c r="A705" s="2">
        <v>44501</v>
      </c>
      <c r="B705" t="s">
        <v>65</v>
      </c>
      <c r="C705" t="s">
        <v>24</v>
      </c>
      <c r="D705">
        <v>11</v>
      </c>
      <c r="E705">
        <v>6992</v>
      </c>
    </row>
    <row r="706" spans="1:5" x14ac:dyDescent="0.35">
      <c r="A706" s="2">
        <v>44501</v>
      </c>
      <c r="B706" t="s">
        <v>66</v>
      </c>
      <c r="C706" t="s">
        <v>24</v>
      </c>
      <c r="D706">
        <v>16</v>
      </c>
      <c r="E706">
        <v>1919</v>
      </c>
    </row>
    <row r="707" spans="1:5" x14ac:dyDescent="0.35">
      <c r="A707" s="2">
        <v>44501</v>
      </c>
      <c r="B707" t="s">
        <v>55</v>
      </c>
      <c r="C707" t="s">
        <v>24</v>
      </c>
      <c r="D707">
        <v>14</v>
      </c>
      <c r="E707">
        <v>4824</v>
      </c>
    </row>
    <row r="708" spans="1:5" x14ac:dyDescent="0.35">
      <c r="A708" s="2">
        <v>44501</v>
      </c>
      <c r="B708" t="s">
        <v>67</v>
      </c>
      <c r="C708" t="s">
        <v>24</v>
      </c>
      <c r="D708">
        <v>185</v>
      </c>
      <c r="E708">
        <v>11782</v>
      </c>
    </row>
    <row r="709" spans="1:5" x14ac:dyDescent="0.35">
      <c r="A709" s="2">
        <v>44501</v>
      </c>
      <c r="B709" t="s">
        <v>77</v>
      </c>
      <c r="C709" t="s">
        <v>24</v>
      </c>
      <c r="D709">
        <v>20</v>
      </c>
      <c r="E709">
        <v>1293</v>
      </c>
    </row>
    <row r="710" spans="1:5" x14ac:dyDescent="0.35">
      <c r="A710" s="2">
        <v>44501</v>
      </c>
      <c r="B710" t="s">
        <v>78</v>
      </c>
      <c r="C710" t="s">
        <v>24</v>
      </c>
      <c r="D710">
        <v>121</v>
      </c>
      <c r="E710">
        <v>22396</v>
      </c>
    </row>
    <row r="711" spans="1:5" x14ac:dyDescent="0.35">
      <c r="A711" s="2">
        <v>44501</v>
      </c>
      <c r="B711" t="s">
        <v>74</v>
      </c>
      <c r="C711" t="s">
        <v>24</v>
      </c>
      <c r="D711">
        <v>13</v>
      </c>
      <c r="E711">
        <v>16035</v>
      </c>
    </row>
    <row r="712" spans="1:5" x14ac:dyDescent="0.35">
      <c r="A712" s="2">
        <v>44501</v>
      </c>
      <c r="B712" t="s">
        <v>75</v>
      </c>
      <c r="C712" t="s">
        <v>24</v>
      </c>
      <c r="D712">
        <v>8</v>
      </c>
      <c r="E712">
        <v>5320</v>
      </c>
    </row>
    <row r="713" spans="1:5" x14ac:dyDescent="0.35">
      <c r="A713" s="2">
        <v>44501</v>
      </c>
      <c r="B713" t="s">
        <v>79</v>
      </c>
      <c r="C713" t="s">
        <v>24</v>
      </c>
      <c r="D713">
        <v>153</v>
      </c>
      <c r="E713">
        <v>17247</v>
      </c>
    </row>
    <row r="714" spans="1:5" x14ac:dyDescent="0.35">
      <c r="A714" s="2">
        <v>44501</v>
      </c>
      <c r="B714" t="s">
        <v>80</v>
      </c>
      <c r="C714" t="s">
        <v>24</v>
      </c>
      <c r="D714">
        <v>214</v>
      </c>
      <c r="E714">
        <v>15244</v>
      </c>
    </row>
    <row r="715" spans="1:5" x14ac:dyDescent="0.35">
      <c r="A715" s="2">
        <v>44501</v>
      </c>
      <c r="B715" t="s">
        <v>68</v>
      </c>
      <c r="C715" t="s">
        <v>24</v>
      </c>
      <c r="D715">
        <v>31</v>
      </c>
      <c r="E715">
        <v>12871</v>
      </c>
    </row>
    <row r="716" spans="1:5" x14ac:dyDescent="0.35">
      <c r="A716" s="2">
        <v>44501</v>
      </c>
      <c r="B716" t="s">
        <v>81</v>
      </c>
      <c r="C716" t="s">
        <v>24</v>
      </c>
      <c r="D716">
        <v>515</v>
      </c>
      <c r="E716">
        <v>28322</v>
      </c>
    </row>
    <row r="717" spans="1:5" x14ac:dyDescent="0.35">
      <c r="A717" s="2">
        <v>44501</v>
      </c>
      <c r="B717" t="s">
        <v>69</v>
      </c>
      <c r="C717" t="s">
        <v>24</v>
      </c>
      <c r="D717">
        <v>18</v>
      </c>
      <c r="E717">
        <v>5095</v>
      </c>
    </row>
    <row r="718" spans="1:5" x14ac:dyDescent="0.35">
      <c r="A718" s="2">
        <v>44501</v>
      </c>
      <c r="B718" t="s">
        <v>70</v>
      </c>
      <c r="C718" t="s">
        <v>24</v>
      </c>
      <c r="D718">
        <v>3</v>
      </c>
      <c r="E718">
        <v>9015</v>
      </c>
    </row>
    <row r="719" spans="1:5" x14ac:dyDescent="0.35">
      <c r="A719" s="2">
        <v>44501</v>
      </c>
      <c r="B719" t="s">
        <v>82</v>
      </c>
      <c r="C719" t="s">
        <v>24</v>
      </c>
      <c r="D719">
        <v>79</v>
      </c>
      <c r="E719">
        <v>16115</v>
      </c>
    </row>
    <row r="720" spans="1:5" x14ac:dyDescent="0.35">
      <c r="A720" s="2">
        <v>44501</v>
      </c>
      <c r="B720" t="s">
        <v>83</v>
      </c>
      <c r="C720" t="s">
        <v>24</v>
      </c>
      <c r="D720">
        <v>108</v>
      </c>
      <c r="E720">
        <v>15533</v>
      </c>
    </row>
    <row r="721" spans="1:5" x14ac:dyDescent="0.35">
      <c r="A721" s="2">
        <v>44501</v>
      </c>
      <c r="B721" t="s">
        <v>84</v>
      </c>
      <c r="C721" t="s">
        <v>24</v>
      </c>
      <c r="D721">
        <v>10</v>
      </c>
      <c r="E721">
        <v>29608</v>
      </c>
    </row>
    <row r="722" spans="1:5" x14ac:dyDescent="0.35">
      <c r="A722" s="2">
        <v>44501</v>
      </c>
      <c r="B722" t="s">
        <v>71</v>
      </c>
      <c r="C722" t="s">
        <v>24</v>
      </c>
      <c r="D722">
        <v>12</v>
      </c>
      <c r="E722">
        <v>3954</v>
      </c>
    </row>
    <row r="723" spans="1:5" x14ac:dyDescent="0.35">
      <c r="A723" s="2">
        <v>44501</v>
      </c>
      <c r="B723" t="s">
        <v>85</v>
      </c>
      <c r="C723" t="s">
        <v>24</v>
      </c>
      <c r="D723">
        <v>59</v>
      </c>
      <c r="E723">
        <v>8836</v>
      </c>
    </row>
    <row r="724" spans="1:5" x14ac:dyDescent="0.35">
      <c r="A724" s="2">
        <v>44531</v>
      </c>
      <c r="B724" t="s">
        <v>76</v>
      </c>
      <c r="C724" t="s">
        <v>24</v>
      </c>
      <c r="D724">
        <v>31</v>
      </c>
      <c r="E724">
        <v>6314</v>
      </c>
    </row>
    <row r="725" spans="1:5" x14ac:dyDescent="0.35">
      <c r="A725" s="2">
        <v>44531</v>
      </c>
      <c r="B725" t="s">
        <v>54</v>
      </c>
      <c r="C725" t="s">
        <v>24</v>
      </c>
      <c r="D725">
        <v>3</v>
      </c>
      <c r="E725">
        <v>6737</v>
      </c>
    </row>
    <row r="726" spans="1:5" x14ac:dyDescent="0.35">
      <c r="A726" s="2">
        <v>44531</v>
      </c>
      <c r="B726" t="s">
        <v>65</v>
      </c>
      <c r="C726" t="s">
        <v>24</v>
      </c>
      <c r="D726">
        <v>7</v>
      </c>
      <c r="E726">
        <v>5031</v>
      </c>
    </row>
    <row r="727" spans="1:5" x14ac:dyDescent="0.35">
      <c r="A727" s="2">
        <v>44531</v>
      </c>
      <c r="B727" t="s">
        <v>66</v>
      </c>
      <c r="C727" t="s">
        <v>24</v>
      </c>
      <c r="D727">
        <v>12</v>
      </c>
      <c r="E727">
        <v>1985</v>
      </c>
    </row>
    <row r="728" spans="1:5" x14ac:dyDescent="0.35">
      <c r="A728" s="2">
        <v>44531</v>
      </c>
      <c r="B728" t="s">
        <v>55</v>
      </c>
      <c r="C728" t="s">
        <v>24</v>
      </c>
      <c r="D728">
        <v>5</v>
      </c>
      <c r="E728">
        <v>3651</v>
      </c>
    </row>
    <row r="729" spans="1:5" x14ac:dyDescent="0.35">
      <c r="A729" s="2">
        <v>44531</v>
      </c>
      <c r="B729" t="s">
        <v>67</v>
      </c>
      <c r="C729" t="s">
        <v>24</v>
      </c>
      <c r="D729">
        <v>277</v>
      </c>
      <c r="E729">
        <v>12633</v>
      </c>
    </row>
    <row r="730" spans="1:5" x14ac:dyDescent="0.35">
      <c r="A730" s="2">
        <v>44531</v>
      </c>
      <c r="B730" t="s">
        <v>77</v>
      </c>
      <c r="C730" t="s">
        <v>24</v>
      </c>
      <c r="D730">
        <v>19</v>
      </c>
      <c r="E730">
        <v>1306</v>
      </c>
    </row>
    <row r="731" spans="1:5" x14ac:dyDescent="0.35">
      <c r="A731" s="2">
        <v>44531</v>
      </c>
      <c r="B731" t="s">
        <v>78</v>
      </c>
      <c r="C731" t="s">
        <v>24</v>
      </c>
      <c r="D731">
        <v>163</v>
      </c>
      <c r="E731">
        <v>24277</v>
      </c>
    </row>
    <row r="732" spans="1:5" x14ac:dyDescent="0.35">
      <c r="A732" s="2">
        <v>44531</v>
      </c>
      <c r="B732" t="s">
        <v>74</v>
      </c>
      <c r="C732" t="s">
        <v>24</v>
      </c>
      <c r="D732">
        <v>11</v>
      </c>
      <c r="E732">
        <v>16015</v>
      </c>
    </row>
    <row r="733" spans="1:5" x14ac:dyDescent="0.35">
      <c r="A733" s="2">
        <v>44531</v>
      </c>
      <c r="B733" t="s">
        <v>75</v>
      </c>
      <c r="C733" t="s">
        <v>24</v>
      </c>
      <c r="D733">
        <v>3</v>
      </c>
      <c r="E733">
        <v>4258</v>
      </c>
    </row>
    <row r="734" spans="1:5" x14ac:dyDescent="0.35">
      <c r="A734" s="2">
        <v>44531</v>
      </c>
      <c r="B734" t="s">
        <v>79</v>
      </c>
      <c r="C734" t="s">
        <v>24</v>
      </c>
      <c r="D734">
        <v>153</v>
      </c>
      <c r="E734">
        <v>16243</v>
      </c>
    </row>
    <row r="735" spans="1:5" x14ac:dyDescent="0.35">
      <c r="A735" s="2">
        <v>44531</v>
      </c>
      <c r="B735" t="s">
        <v>80</v>
      </c>
      <c r="C735" t="s">
        <v>24</v>
      </c>
      <c r="D735">
        <v>186</v>
      </c>
      <c r="E735">
        <v>16994</v>
      </c>
    </row>
    <row r="736" spans="1:5" x14ac:dyDescent="0.35">
      <c r="A736" s="2">
        <v>44531</v>
      </c>
      <c r="B736" t="s">
        <v>68</v>
      </c>
      <c r="C736" t="s">
        <v>24</v>
      </c>
      <c r="D736">
        <v>30</v>
      </c>
      <c r="E736">
        <v>11820</v>
      </c>
    </row>
    <row r="737" spans="1:5" x14ac:dyDescent="0.35">
      <c r="A737" s="2">
        <v>44531</v>
      </c>
      <c r="B737" t="s">
        <v>81</v>
      </c>
      <c r="C737" t="s">
        <v>24</v>
      </c>
      <c r="D737">
        <v>1392</v>
      </c>
      <c r="E737">
        <v>29346</v>
      </c>
    </row>
    <row r="738" spans="1:5" x14ac:dyDescent="0.35">
      <c r="A738" s="2">
        <v>44531</v>
      </c>
      <c r="B738" t="s">
        <v>69</v>
      </c>
      <c r="C738" t="s">
        <v>24</v>
      </c>
      <c r="D738">
        <v>20</v>
      </c>
      <c r="E738">
        <v>4634</v>
      </c>
    </row>
    <row r="739" spans="1:5" x14ac:dyDescent="0.35">
      <c r="A739" s="2">
        <v>44531</v>
      </c>
      <c r="B739" t="s">
        <v>63</v>
      </c>
      <c r="C739" t="s">
        <v>24</v>
      </c>
      <c r="D739">
        <v>2</v>
      </c>
      <c r="E739">
        <v>608</v>
      </c>
    </row>
    <row r="740" spans="1:5" x14ac:dyDescent="0.35">
      <c r="A740" s="2">
        <v>44531</v>
      </c>
      <c r="B740" t="s">
        <v>70</v>
      </c>
      <c r="C740" t="s">
        <v>24</v>
      </c>
      <c r="D740">
        <v>6</v>
      </c>
      <c r="E740">
        <v>10624</v>
      </c>
    </row>
    <row r="741" spans="1:5" x14ac:dyDescent="0.35">
      <c r="A741" s="2">
        <v>44531</v>
      </c>
      <c r="B741" t="s">
        <v>82</v>
      </c>
      <c r="C741" t="s">
        <v>24</v>
      </c>
      <c r="D741">
        <v>73</v>
      </c>
      <c r="E741">
        <v>12739</v>
      </c>
    </row>
    <row r="742" spans="1:5" x14ac:dyDescent="0.35">
      <c r="A742" s="2">
        <v>44531</v>
      </c>
      <c r="B742" t="s">
        <v>83</v>
      </c>
      <c r="C742" t="s">
        <v>24</v>
      </c>
      <c r="D742">
        <v>121</v>
      </c>
      <c r="E742">
        <v>17001</v>
      </c>
    </row>
    <row r="743" spans="1:5" x14ac:dyDescent="0.35">
      <c r="A743" s="2">
        <v>44531</v>
      </c>
      <c r="B743" t="s">
        <v>84</v>
      </c>
      <c r="C743" t="s">
        <v>24</v>
      </c>
      <c r="D743">
        <v>21</v>
      </c>
      <c r="E743">
        <v>33774</v>
      </c>
    </row>
    <row r="744" spans="1:5" x14ac:dyDescent="0.35">
      <c r="A744" s="2">
        <v>44531</v>
      </c>
      <c r="B744" t="s">
        <v>71</v>
      </c>
      <c r="C744" t="s">
        <v>24</v>
      </c>
      <c r="D744">
        <v>38</v>
      </c>
      <c r="E744">
        <v>4270</v>
      </c>
    </row>
    <row r="745" spans="1:5" x14ac:dyDescent="0.35">
      <c r="A745" s="2">
        <v>44531</v>
      </c>
      <c r="B745" t="s">
        <v>85</v>
      </c>
      <c r="C745" t="s">
        <v>24</v>
      </c>
      <c r="D745">
        <v>39</v>
      </c>
      <c r="E745">
        <v>8452</v>
      </c>
    </row>
    <row r="746" spans="1:5" x14ac:dyDescent="0.35">
      <c r="A746" s="2">
        <v>44562</v>
      </c>
      <c r="B746" t="s">
        <v>76</v>
      </c>
      <c r="C746" t="s">
        <v>24</v>
      </c>
      <c r="D746">
        <v>29</v>
      </c>
      <c r="E746">
        <v>8418</v>
      </c>
    </row>
    <row r="747" spans="1:5" x14ac:dyDescent="0.35">
      <c r="A747" s="2">
        <v>44562</v>
      </c>
      <c r="B747" t="s">
        <v>65</v>
      </c>
      <c r="C747" t="s">
        <v>24</v>
      </c>
      <c r="D747">
        <v>10</v>
      </c>
      <c r="E747">
        <v>5538</v>
      </c>
    </row>
    <row r="748" spans="1:5" x14ac:dyDescent="0.35">
      <c r="A748" s="2">
        <v>44562</v>
      </c>
      <c r="B748" t="s">
        <v>66</v>
      </c>
      <c r="C748" t="s">
        <v>24</v>
      </c>
      <c r="D748">
        <v>7</v>
      </c>
      <c r="E748">
        <v>1519</v>
      </c>
    </row>
    <row r="749" spans="1:5" x14ac:dyDescent="0.35">
      <c r="A749" s="2">
        <v>44562</v>
      </c>
      <c r="B749" t="s">
        <v>55</v>
      </c>
      <c r="C749" t="s">
        <v>24</v>
      </c>
      <c r="D749">
        <v>11</v>
      </c>
      <c r="E749">
        <v>4667</v>
      </c>
    </row>
    <row r="750" spans="1:5" x14ac:dyDescent="0.35">
      <c r="A750" s="2">
        <v>44562</v>
      </c>
      <c r="B750" t="s">
        <v>67</v>
      </c>
      <c r="C750" t="s">
        <v>24</v>
      </c>
      <c r="D750">
        <v>282</v>
      </c>
      <c r="E750">
        <v>13659</v>
      </c>
    </row>
    <row r="751" spans="1:5" x14ac:dyDescent="0.35">
      <c r="A751" s="2">
        <v>44562</v>
      </c>
      <c r="B751" t="s">
        <v>77</v>
      </c>
      <c r="C751" t="s">
        <v>24</v>
      </c>
      <c r="D751">
        <v>26</v>
      </c>
      <c r="E751">
        <v>1185</v>
      </c>
    </row>
    <row r="752" spans="1:5" x14ac:dyDescent="0.35">
      <c r="A752" s="2">
        <v>44562</v>
      </c>
      <c r="B752" t="s">
        <v>78</v>
      </c>
      <c r="C752" t="s">
        <v>24</v>
      </c>
      <c r="D752">
        <v>97</v>
      </c>
      <c r="E752">
        <v>21963</v>
      </c>
    </row>
    <row r="753" spans="1:5" x14ac:dyDescent="0.35">
      <c r="A753" s="2">
        <v>44562</v>
      </c>
      <c r="B753" t="s">
        <v>74</v>
      </c>
      <c r="C753" t="s">
        <v>24</v>
      </c>
      <c r="D753">
        <v>26</v>
      </c>
      <c r="E753">
        <v>17633</v>
      </c>
    </row>
    <row r="754" spans="1:5" x14ac:dyDescent="0.35">
      <c r="A754" s="2">
        <v>44562</v>
      </c>
      <c r="B754" t="s">
        <v>72</v>
      </c>
      <c r="C754" t="s">
        <v>24</v>
      </c>
      <c r="D754">
        <v>3</v>
      </c>
      <c r="E754">
        <v>3090</v>
      </c>
    </row>
    <row r="755" spans="1:5" x14ac:dyDescent="0.35">
      <c r="A755" s="2">
        <v>44562</v>
      </c>
      <c r="B755" t="s">
        <v>75</v>
      </c>
      <c r="C755" t="s">
        <v>24</v>
      </c>
      <c r="D755">
        <v>5</v>
      </c>
      <c r="E755">
        <v>4345</v>
      </c>
    </row>
    <row r="756" spans="1:5" x14ac:dyDescent="0.35">
      <c r="A756" s="2">
        <v>44562</v>
      </c>
      <c r="B756" t="s">
        <v>79</v>
      </c>
      <c r="C756" t="s">
        <v>24</v>
      </c>
      <c r="D756">
        <v>209</v>
      </c>
      <c r="E756">
        <v>21967</v>
      </c>
    </row>
    <row r="757" spans="1:5" x14ac:dyDescent="0.35">
      <c r="A757" s="2">
        <v>44562</v>
      </c>
      <c r="B757" t="s">
        <v>80</v>
      </c>
      <c r="C757" t="s">
        <v>24</v>
      </c>
      <c r="D757">
        <v>212</v>
      </c>
      <c r="E757">
        <v>17441</v>
      </c>
    </row>
    <row r="758" spans="1:5" x14ac:dyDescent="0.35">
      <c r="A758" s="2">
        <v>44562</v>
      </c>
      <c r="B758" t="s">
        <v>68</v>
      </c>
      <c r="C758" t="s">
        <v>24</v>
      </c>
      <c r="D758">
        <v>25</v>
      </c>
      <c r="E758">
        <v>11325</v>
      </c>
    </row>
    <row r="759" spans="1:5" x14ac:dyDescent="0.35">
      <c r="A759" s="2">
        <v>44562</v>
      </c>
      <c r="B759" t="s">
        <v>81</v>
      </c>
      <c r="C759" t="s">
        <v>24</v>
      </c>
      <c r="D759">
        <v>263</v>
      </c>
      <c r="E759">
        <v>35772</v>
      </c>
    </row>
    <row r="760" spans="1:5" x14ac:dyDescent="0.35">
      <c r="A760" s="2">
        <v>44562</v>
      </c>
      <c r="B760" t="s">
        <v>69</v>
      </c>
      <c r="C760" t="s">
        <v>24</v>
      </c>
      <c r="D760">
        <v>27</v>
      </c>
      <c r="E760">
        <v>5876</v>
      </c>
    </row>
    <row r="761" spans="1:5" x14ac:dyDescent="0.35">
      <c r="A761" s="2">
        <v>44562</v>
      </c>
      <c r="B761" t="s">
        <v>70</v>
      </c>
      <c r="C761" t="s">
        <v>24</v>
      </c>
      <c r="D761">
        <v>7</v>
      </c>
      <c r="E761">
        <v>9792</v>
      </c>
    </row>
    <row r="762" spans="1:5" x14ac:dyDescent="0.35">
      <c r="A762" s="2">
        <v>44562</v>
      </c>
      <c r="B762" t="s">
        <v>82</v>
      </c>
      <c r="C762" t="s">
        <v>24</v>
      </c>
      <c r="D762">
        <v>92</v>
      </c>
      <c r="E762">
        <v>13658</v>
      </c>
    </row>
    <row r="763" spans="1:5" x14ac:dyDescent="0.35">
      <c r="A763" s="2">
        <v>44562</v>
      </c>
      <c r="B763" t="s">
        <v>83</v>
      </c>
      <c r="C763" t="s">
        <v>24</v>
      </c>
      <c r="D763">
        <v>121</v>
      </c>
      <c r="E763">
        <v>20494</v>
      </c>
    </row>
    <row r="764" spans="1:5" x14ac:dyDescent="0.35">
      <c r="A764" s="2">
        <v>44562</v>
      </c>
      <c r="B764" t="s">
        <v>84</v>
      </c>
      <c r="C764" t="s">
        <v>24</v>
      </c>
      <c r="D764">
        <v>14</v>
      </c>
      <c r="E764">
        <v>32561</v>
      </c>
    </row>
    <row r="765" spans="1:5" x14ac:dyDescent="0.35">
      <c r="A765" s="2">
        <v>44562</v>
      </c>
      <c r="B765" t="s">
        <v>71</v>
      </c>
      <c r="C765" t="s">
        <v>24</v>
      </c>
      <c r="D765">
        <v>30</v>
      </c>
      <c r="E765">
        <v>4241</v>
      </c>
    </row>
    <row r="766" spans="1:5" x14ac:dyDescent="0.35">
      <c r="A766" s="2">
        <v>44562</v>
      </c>
      <c r="B766" t="s">
        <v>85</v>
      </c>
      <c r="C766" t="s">
        <v>24</v>
      </c>
      <c r="D766">
        <v>54</v>
      </c>
      <c r="E766">
        <v>7968</v>
      </c>
    </row>
    <row r="767" spans="1:5" x14ac:dyDescent="0.35">
      <c r="A767" s="2">
        <v>44593</v>
      </c>
      <c r="B767" t="s">
        <v>76</v>
      </c>
      <c r="C767" t="s">
        <v>24</v>
      </c>
      <c r="D767">
        <v>43</v>
      </c>
      <c r="E767">
        <v>6361</v>
      </c>
    </row>
    <row r="768" spans="1:5" x14ac:dyDescent="0.35">
      <c r="A768" s="2">
        <v>44593</v>
      </c>
      <c r="B768" t="s">
        <v>54</v>
      </c>
      <c r="C768" t="s">
        <v>24</v>
      </c>
      <c r="D768">
        <v>3</v>
      </c>
      <c r="E768">
        <v>6152</v>
      </c>
    </row>
    <row r="769" spans="1:5" x14ac:dyDescent="0.35">
      <c r="A769" s="2">
        <v>44593</v>
      </c>
      <c r="B769" t="s">
        <v>65</v>
      </c>
      <c r="C769" t="s">
        <v>24</v>
      </c>
      <c r="D769">
        <v>8</v>
      </c>
      <c r="E769">
        <v>5658</v>
      </c>
    </row>
    <row r="770" spans="1:5" x14ac:dyDescent="0.35">
      <c r="A770" s="2">
        <v>44593</v>
      </c>
      <c r="B770" t="s">
        <v>66</v>
      </c>
      <c r="C770" t="s">
        <v>24</v>
      </c>
      <c r="D770">
        <v>11</v>
      </c>
      <c r="E770">
        <v>1941</v>
      </c>
    </row>
    <row r="771" spans="1:5" x14ac:dyDescent="0.35">
      <c r="A771" s="2">
        <v>44593</v>
      </c>
      <c r="B771" t="s">
        <v>55</v>
      </c>
      <c r="C771" t="s">
        <v>24</v>
      </c>
      <c r="D771">
        <v>20</v>
      </c>
      <c r="E771">
        <v>3922</v>
      </c>
    </row>
    <row r="772" spans="1:5" x14ac:dyDescent="0.35">
      <c r="A772" s="2">
        <v>44593</v>
      </c>
      <c r="B772" t="s">
        <v>67</v>
      </c>
      <c r="C772" t="s">
        <v>24</v>
      </c>
      <c r="D772">
        <v>298</v>
      </c>
      <c r="E772">
        <v>12608</v>
      </c>
    </row>
    <row r="773" spans="1:5" x14ac:dyDescent="0.35">
      <c r="A773" s="2">
        <v>44593</v>
      </c>
      <c r="B773" t="s">
        <v>77</v>
      </c>
      <c r="C773" t="s">
        <v>24</v>
      </c>
      <c r="D773">
        <v>62</v>
      </c>
      <c r="E773">
        <v>1160</v>
      </c>
    </row>
    <row r="774" spans="1:5" x14ac:dyDescent="0.35">
      <c r="A774" s="2">
        <v>44593</v>
      </c>
      <c r="B774" t="s">
        <v>78</v>
      </c>
      <c r="C774" t="s">
        <v>24</v>
      </c>
      <c r="D774">
        <v>128</v>
      </c>
      <c r="E774">
        <v>24012</v>
      </c>
    </row>
    <row r="775" spans="1:5" x14ac:dyDescent="0.35">
      <c r="A775" s="2">
        <v>44593</v>
      </c>
      <c r="B775" t="s">
        <v>74</v>
      </c>
      <c r="C775" t="s">
        <v>24</v>
      </c>
      <c r="D775">
        <v>28</v>
      </c>
      <c r="E775">
        <v>16353</v>
      </c>
    </row>
    <row r="776" spans="1:5" x14ac:dyDescent="0.35">
      <c r="A776" s="2">
        <v>44593</v>
      </c>
      <c r="B776" t="s">
        <v>72</v>
      </c>
      <c r="C776" t="s">
        <v>24</v>
      </c>
      <c r="D776">
        <v>5</v>
      </c>
      <c r="E776">
        <v>3616</v>
      </c>
    </row>
    <row r="777" spans="1:5" x14ac:dyDescent="0.35">
      <c r="A777" s="2">
        <v>44593</v>
      </c>
      <c r="B777" t="s">
        <v>57</v>
      </c>
      <c r="C777" t="s">
        <v>24</v>
      </c>
      <c r="D777">
        <v>7</v>
      </c>
      <c r="E777">
        <v>4679</v>
      </c>
    </row>
    <row r="778" spans="1:5" x14ac:dyDescent="0.35">
      <c r="A778" s="2">
        <v>44593</v>
      </c>
      <c r="B778" t="s">
        <v>75</v>
      </c>
      <c r="C778" t="s">
        <v>24</v>
      </c>
      <c r="D778">
        <v>4</v>
      </c>
      <c r="E778">
        <v>4335</v>
      </c>
    </row>
    <row r="779" spans="1:5" x14ac:dyDescent="0.35">
      <c r="A779" s="2">
        <v>44593</v>
      </c>
      <c r="B779" t="s">
        <v>79</v>
      </c>
      <c r="C779" t="s">
        <v>24</v>
      </c>
      <c r="D779">
        <v>202</v>
      </c>
      <c r="E779">
        <v>17561</v>
      </c>
    </row>
    <row r="780" spans="1:5" x14ac:dyDescent="0.35">
      <c r="A780" s="2">
        <v>44593</v>
      </c>
      <c r="B780" t="s">
        <v>80</v>
      </c>
      <c r="C780" t="s">
        <v>24</v>
      </c>
      <c r="D780">
        <v>327</v>
      </c>
      <c r="E780">
        <v>14575</v>
      </c>
    </row>
    <row r="781" spans="1:5" x14ac:dyDescent="0.35">
      <c r="A781" s="2">
        <v>44593</v>
      </c>
      <c r="B781" t="s">
        <v>68</v>
      </c>
      <c r="C781" t="s">
        <v>24</v>
      </c>
      <c r="D781">
        <v>22</v>
      </c>
      <c r="E781">
        <v>11274</v>
      </c>
    </row>
    <row r="782" spans="1:5" x14ac:dyDescent="0.35">
      <c r="A782" s="2">
        <v>44593</v>
      </c>
      <c r="B782" t="s">
        <v>81</v>
      </c>
      <c r="C782" t="s">
        <v>24</v>
      </c>
      <c r="D782">
        <v>905</v>
      </c>
      <c r="E782">
        <v>31805</v>
      </c>
    </row>
    <row r="783" spans="1:5" x14ac:dyDescent="0.35">
      <c r="A783" s="2">
        <v>44593</v>
      </c>
      <c r="B783" t="s">
        <v>69</v>
      </c>
      <c r="C783" t="s">
        <v>24</v>
      </c>
      <c r="D783">
        <v>27</v>
      </c>
      <c r="E783">
        <v>5023</v>
      </c>
    </row>
    <row r="784" spans="1:5" x14ac:dyDescent="0.35">
      <c r="A784" s="2">
        <v>44593</v>
      </c>
      <c r="B784" t="s">
        <v>70</v>
      </c>
      <c r="C784" t="s">
        <v>24</v>
      </c>
      <c r="D784">
        <v>5</v>
      </c>
      <c r="E784">
        <v>9464</v>
      </c>
    </row>
    <row r="785" spans="1:5" x14ac:dyDescent="0.35">
      <c r="A785" s="2">
        <v>44593</v>
      </c>
      <c r="B785" t="s">
        <v>82</v>
      </c>
      <c r="C785" t="s">
        <v>24</v>
      </c>
      <c r="D785">
        <v>116</v>
      </c>
      <c r="E785">
        <v>14811</v>
      </c>
    </row>
    <row r="786" spans="1:5" x14ac:dyDescent="0.35">
      <c r="A786" s="2">
        <v>44593</v>
      </c>
      <c r="B786" t="s">
        <v>83</v>
      </c>
      <c r="C786" t="s">
        <v>24</v>
      </c>
      <c r="D786">
        <v>135</v>
      </c>
      <c r="E786">
        <v>16711</v>
      </c>
    </row>
    <row r="787" spans="1:5" x14ac:dyDescent="0.35">
      <c r="A787" s="2">
        <v>44593</v>
      </c>
      <c r="B787" t="s">
        <v>84</v>
      </c>
      <c r="C787" t="s">
        <v>24</v>
      </c>
      <c r="D787">
        <v>22</v>
      </c>
      <c r="E787">
        <v>28479</v>
      </c>
    </row>
    <row r="788" spans="1:5" x14ac:dyDescent="0.35">
      <c r="A788" s="2">
        <v>44593</v>
      </c>
      <c r="B788" t="s">
        <v>71</v>
      </c>
      <c r="C788" t="s">
        <v>24</v>
      </c>
      <c r="D788">
        <v>24</v>
      </c>
      <c r="E788">
        <v>3820</v>
      </c>
    </row>
    <row r="789" spans="1:5" x14ac:dyDescent="0.35">
      <c r="A789" s="2">
        <v>44593</v>
      </c>
      <c r="B789" t="s">
        <v>85</v>
      </c>
      <c r="C789" t="s">
        <v>24</v>
      </c>
      <c r="D789">
        <v>45</v>
      </c>
      <c r="E789">
        <v>7395</v>
      </c>
    </row>
    <row r="790" spans="1:5" x14ac:dyDescent="0.35">
      <c r="A790" s="2">
        <v>44621</v>
      </c>
      <c r="B790" t="s">
        <v>52</v>
      </c>
      <c r="C790" t="s">
        <v>24</v>
      </c>
      <c r="D790">
        <v>2</v>
      </c>
      <c r="E790">
        <v>108</v>
      </c>
    </row>
    <row r="791" spans="1:5" x14ac:dyDescent="0.35">
      <c r="A791" s="2">
        <v>44621</v>
      </c>
      <c r="B791" t="s">
        <v>76</v>
      </c>
      <c r="C791" t="s">
        <v>24</v>
      </c>
      <c r="D791">
        <v>55</v>
      </c>
      <c r="E791">
        <v>7288</v>
      </c>
    </row>
    <row r="792" spans="1:5" x14ac:dyDescent="0.35">
      <c r="A792" s="2">
        <v>44621</v>
      </c>
      <c r="B792" t="s">
        <v>54</v>
      </c>
      <c r="C792" t="s">
        <v>24</v>
      </c>
      <c r="D792">
        <v>2</v>
      </c>
      <c r="E792">
        <v>7281</v>
      </c>
    </row>
    <row r="793" spans="1:5" x14ac:dyDescent="0.35">
      <c r="A793" s="2">
        <v>44621</v>
      </c>
      <c r="B793" t="s">
        <v>65</v>
      </c>
      <c r="C793" t="s">
        <v>24</v>
      </c>
      <c r="D793">
        <v>12</v>
      </c>
      <c r="E793">
        <v>6694</v>
      </c>
    </row>
    <row r="794" spans="1:5" x14ac:dyDescent="0.35">
      <c r="A794" s="2">
        <v>44621</v>
      </c>
      <c r="B794" t="s">
        <v>66</v>
      </c>
      <c r="C794" t="s">
        <v>24</v>
      </c>
      <c r="D794">
        <v>14</v>
      </c>
      <c r="E794">
        <v>2279</v>
      </c>
    </row>
    <row r="795" spans="1:5" x14ac:dyDescent="0.35">
      <c r="A795" s="2">
        <v>44621</v>
      </c>
      <c r="B795" t="s">
        <v>55</v>
      </c>
      <c r="C795" t="s">
        <v>24</v>
      </c>
      <c r="D795">
        <v>19</v>
      </c>
      <c r="E795">
        <v>4200</v>
      </c>
    </row>
    <row r="796" spans="1:5" x14ac:dyDescent="0.35">
      <c r="A796" s="2">
        <v>44621</v>
      </c>
      <c r="B796" t="s">
        <v>67</v>
      </c>
      <c r="C796" t="s">
        <v>24</v>
      </c>
      <c r="D796">
        <v>220</v>
      </c>
      <c r="E796">
        <v>13385</v>
      </c>
    </row>
    <row r="797" spans="1:5" x14ac:dyDescent="0.35">
      <c r="A797" s="2">
        <v>44621</v>
      </c>
      <c r="B797" t="s">
        <v>77</v>
      </c>
      <c r="C797" t="s">
        <v>24</v>
      </c>
      <c r="D797">
        <v>91</v>
      </c>
      <c r="E797">
        <v>1474</v>
      </c>
    </row>
    <row r="798" spans="1:5" x14ac:dyDescent="0.35">
      <c r="A798" s="2">
        <v>44621</v>
      </c>
      <c r="B798" t="s">
        <v>78</v>
      </c>
      <c r="C798" t="s">
        <v>24</v>
      </c>
      <c r="D798">
        <v>249</v>
      </c>
      <c r="E798">
        <v>26077</v>
      </c>
    </row>
    <row r="799" spans="1:5" x14ac:dyDescent="0.35">
      <c r="A799" s="2">
        <v>44621</v>
      </c>
      <c r="B799" t="s">
        <v>74</v>
      </c>
      <c r="C799" t="s">
        <v>24</v>
      </c>
      <c r="D799">
        <v>13</v>
      </c>
      <c r="E799">
        <v>18621</v>
      </c>
    </row>
    <row r="800" spans="1:5" x14ac:dyDescent="0.35">
      <c r="A800" s="2">
        <v>44621</v>
      </c>
      <c r="B800" t="s">
        <v>72</v>
      </c>
      <c r="C800" t="s">
        <v>24</v>
      </c>
      <c r="D800">
        <v>3</v>
      </c>
      <c r="E800">
        <v>3371</v>
      </c>
    </row>
    <row r="801" spans="1:5" x14ac:dyDescent="0.35">
      <c r="A801" s="2">
        <v>44621</v>
      </c>
      <c r="B801" t="s">
        <v>57</v>
      </c>
      <c r="C801" t="s">
        <v>24</v>
      </c>
      <c r="D801">
        <v>4</v>
      </c>
      <c r="E801">
        <v>4854</v>
      </c>
    </row>
    <row r="802" spans="1:5" x14ac:dyDescent="0.35">
      <c r="A802" s="2">
        <v>44621</v>
      </c>
      <c r="B802" t="s">
        <v>75</v>
      </c>
      <c r="C802" t="s">
        <v>24</v>
      </c>
      <c r="D802">
        <v>5</v>
      </c>
      <c r="E802">
        <v>5062</v>
      </c>
    </row>
    <row r="803" spans="1:5" x14ac:dyDescent="0.35">
      <c r="A803" s="2">
        <v>44621</v>
      </c>
      <c r="B803" t="s">
        <v>79</v>
      </c>
      <c r="C803" t="s">
        <v>24</v>
      </c>
      <c r="D803">
        <v>230</v>
      </c>
      <c r="E803">
        <v>22167</v>
      </c>
    </row>
    <row r="804" spans="1:5" x14ac:dyDescent="0.35">
      <c r="A804" s="2">
        <v>44621</v>
      </c>
      <c r="B804" t="s">
        <v>80</v>
      </c>
      <c r="C804" t="s">
        <v>24</v>
      </c>
      <c r="D804">
        <v>331</v>
      </c>
      <c r="E804">
        <v>16628</v>
      </c>
    </row>
    <row r="805" spans="1:5" x14ac:dyDescent="0.35">
      <c r="A805" s="2">
        <v>44621</v>
      </c>
      <c r="B805" t="s">
        <v>68</v>
      </c>
      <c r="C805" t="s">
        <v>24</v>
      </c>
      <c r="D805">
        <v>35</v>
      </c>
      <c r="E805">
        <v>11616</v>
      </c>
    </row>
    <row r="806" spans="1:5" x14ac:dyDescent="0.35">
      <c r="A806" s="2">
        <v>44621</v>
      </c>
      <c r="B806" t="s">
        <v>81</v>
      </c>
      <c r="C806" t="s">
        <v>24</v>
      </c>
      <c r="D806">
        <v>2060</v>
      </c>
      <c r="E806">
        <v>39762</v>
      </c>
    </row>
    <row r="807" spans="1:5" x14ac:dyDescent="0.35">
      <c r="A807" s="2">
        <v>44621</v>
      </c>
      <c r="B807" t="s">
        <v>69</v>
      </c>
      <c r="C807" t="s">
        <v>24</v>
      </c>
      <c r="D807">
        <v>31</v>
      </c>
      <c r="E807">
        <v>6098</v>
      </c>
    </row>
    <row r="808" spans="1:5" x14ac:dyDescent="0.35">
      <c r="A808" s="2">
        <v>44621</v>
      </c>
      <c r="B808" t="s">
        <v>63</v>
      </c>
      <c r="C808" t="s">
        <v>24</v>
      </c>
      <c r="D808">
        <v>3</v>
      </c>
      <c r="E808">
        <v>817</v>
      </c>
    </row>
    <row r="809" spans="1:5" x14ac:dyDescent="0.35">
      <c r="A809" s="2">
        <v>44621</v>
      </c>
      <c r="B809" t="s">
        <v>70</v>
      </c>
      <c r="C809" t="s">
        <v>24</v>
      </c>
      <c r="D809">
        <v>4</v>
      </c>
      <c r="E809">
        <v>10836</v>
      </c>
    </row>
    <row r="810" spans="1:5" x14ac:dyDescent="0.35">
      <c r="A810" s="2">
        <v>44621</v>
      </c>
      <c r="B810" t="s">
        <v>82</v>
      </c>
      <c r="C810" t="s">
        <v>24</v>
      </c>
      <c r="D810">
        <v>89</v>
      </c>
      <c r="E810">
        <v>13751</v>
      </c>
    </row>
    <row r="811" spans="1:5" x14ac:dyDescent="0.35">
      <c r="A811" s="2">
        <v>44621</v>
      </c>
      <c r="B811" t="s">
        <v>83</v>
      </c>
      <c r="C811" t="s">
        <v>24</v>
      </c>
      <c r="D811">
        <v>168</v>
      </c>
      <c r="E811">
        <v>20604</v>
      </c>
    </row>
    <row r="812" spans="1:5" x14ac:dyDescent="0.35">
      <c r="A812" s="2">
        <v>44621</v>
      </c>
      <c r="B812" t="s">
        <v>84</v>
      </c>
      <c r="C812" t="s">
        <v>24</v>
      </c>
      <c r="D812">
        <v>18</v>
      </c>
      <c r="E812">
        <v>29324</v>
      </c>
    </row>
    <row r="813" spans="1:5" x14ac:dyDescent="0.35">
      <c r="A813" s="2">
        <v>44621</v>
      </c>
      <c r="B813" t="s">
        <v>71</v>
      </c>
      <c r="C813" t="s">
        <v>24</v>
      </c>
      <c r="D813">
        <v>20</v>
      </c>
      <c r="E813">
        <v>4026</v>
      </c>
    </row>
    <row r="814" spans="1:5" x14ac:dyDescent="0.35">
      <c r="A814" s="2">
        <v>44621</v>
      </c>
      <c r="B814" t="s">
        <v>85</v>
      </c>
      <c r="C814" t="s">
        <v>24</v>
      </c>
      <c r="D814">
        <v>41</v>
      </c>
      <c r="E814">
        <v>8539</v>
      </c>
    </row>
    <row r="815" spans="1:5" x14ac:dyDescent="0.35">
      <c r="A815" s="2">
        <v>44652</v>
      </c>
      <c r="B815" t="s">
        <v>76</v>
      </c>
      <c r="C815" t="s">
        <v>24</v>
      </c>
      <c r="D815">
        <v>54</v>
      </c>
      <c r="E815">
        <v>7195</v>
      </c>
    </row>
    <row r="816" spans="1:5" x14ac:dyDescent="0.35">
      <c r="A816" s="2">
        <v>44652</v>
      </c>
      <c r="B816" t="s">
        <v>54</v>
      </c>
      <c r="C816" t="s">
        <v>24</v>
      </c>
      <c r="D816">
        <v>2</v>
      </c>
      <c r="E816">
        <v>6354</v>
      </c>
    </row>
    <row r="817" spans="1:5" x14ac:dyDescent="0.35">
      <c r="A817" s="2">
        <v>44652</v>
      </c>
      <c r="B817" t="s">
        <v>65</v>
      </c>
      <c r="C817" t="s">
        <v>24</v>
      </c>
      <c r="D817">
        <v>8</v>
      </c>
      <c r="E817">
        <v>5981</v>
      </c>
    </row>
    <row r="818" spans="1:5" x14ac:dyDescent="0.35">
      <c r="A818" s="2">
        <v>44652</v>
      </c>
      <c r="B818" t="s">
        <v>66</v>
      </c>
      <c r="C818" t="s">
        <v>24</v>
      </c>
      <c r="D818">
        <v>12</v>
      </c>
      <c r="E818">
        <v>2167</v>
      </c>
    </row>
    <row r="819" spans="1:5" x14ac:dyDescent="0.35">
      <c r="A819" s="2">
        <v>44652</v>
      </c>
      <c r="B819" t="s">
        <v>55</v>
      </c>
      <c r="C819" t="s">
        <v>24</v>
      </c>
      <c r="D819">
        <v>20</v>
      </c>
      <c r="E819">
        <v>4861</v>
      </c>
    </row>
    <row r="820" spans="1:5" x14ac:dyDescent="0.35">
      <c r="A820" s="2">
        <v>44652</v>
      </c>
      <c r="B820" t="s">
        <v>67</v>
      </c>
      <c r="C820" t="s">
        <v>24</v>
      </c>
      <c r="D820">
        <v>566</v>
      </c>
      <c r="E820">
        <v>15811</v>
      </c>
    </row>
    <row r="821" spans="1:5" x14ac:dyDescent="0.35">
      <c r="A821" s="2">
        <v>44652</v>
      </c>
      <c r="B821" t="s">
        <v>77</v>
      </c>
      <c r="C821" t="s">
        <v>24</v>
      </c>
      <c r="D821">
        <v>31</v>
      </c>
      <c r="E821">
        <v>1390</v>
      </c>
    </row>
    <row r="822" spans="1:5" x14ac:dyDescent="0.35">
      <c r="A822" s="2">
        <v>44652</v>
      </c>
      <c r="B822" t="s">
        <v>78</v>
      </c>
      <c r="C822" t="s">
        <v>24</v>
      </c>
      <c r="D822">
        <v>171</v>
      </c>
      <c r="E822">
        <v>26534</v>
      </c>
    </row>
    <row r="823" spans="1:5" x14ac:dyDescent="0.35">
      <c r="A823" s="2">
        <v>44652</v>
      </c>
      <c r="B823" t="s">
        <v>74</v>
      </c>
      <c r="C823" t="s">
        <v>24</v>
      </c>
      <c r="D823">
        <v>11</v>
      </c>
      <c r="E823">
        <v>16721</v>
      </c>
    </row>
    <row r="824" spans="1:5" x14ac:dyDescent="0.35">
      <c r="A824" s="2">
        <v>44652</v>
      </c>
      <c r="B824" t="s">
        <v>72</v>
      </c>
      <c r="C824" t="s">
        <v>24</v>
      </c>
      <c r="D824">
        <v>4</v>
      </c>
      <c r="E824">
        <v>3140</v>
      </c>
    </row>
    <row r="825" spans="1:5" x14ac:dyDescent="0.35">
      <c r="A825" s="2">
        <v>44652</v>
      </c>
      <c r="B825" t="s">
        <v>57</v>
      </c>
      <c r="C825" t="s">
        <v>24</v>
      </c>
      <c r="D825">
        <v>3</v>
      </c>
      <c r="E825">
        <v>4468</v>
      </c>
    </row>
    <row r="826" spans="1:5" x14ac:dyDescent="0.35">
      <c r="A826" s="2">
        <v>44652</v>
      </c>
      <c r="B826" t="s">
        <v>75</v>
      </c>
      <c r="C826" t="s">
        <v>24</v>
      </c>
      <c r="D826">
        <v>9</v>
      </c>
      <c r="E826">
        <v>4564</v>
      </c>
    </row>
    <row r="827" spans="1:5" x14ac:dyDescent="0.35">
      <c r="A827" s="2">
        <v>44652</v>
      </c>
      <c r="B827" t="s">
        <v>79</v>
      </c>
      <c r="C827" t="s">
        <v>24</v>
      </c>
      <c r="D827">
        <v>311</v>
      </c>
      <c r="E827">
        <v>24129</v>
      </c>
    </row>
    <row r="828" spans="1:5" x14ac:dyDescent="0.35">
      <c r="A828" s="2">
        <v>44652</v>
      </c>
      <c r="B828" t="s">
        <v>80</v>
      </c>
      <c r="C828" t="s">
        <v>24</v>
      </c>
      <c r="D828">
        <v>275</v>
      </c>
      <c r="E828">
        <v>16142</v>
      </c>
    </row>
    <row r="829" spans="1:5" x14ac:dyDescent="0.35">
      <c r="A829" s="2">
        <v>44652</v>
      </c>
      <c r="B829" t="s">
        <v>68</v>
      </c>
      <c r="C829" t="s">
        <v>24</v>
      </c>
      <c r="D829">
        <v>37</v>
      </c>
      <c r="E829">
        <v>11896</v>
      </c>
    </row>
    <row r="830" spans="1:5" x14ac:dyDescent="0.35">
      <c r="A830" s="2">
        <v>44652</v>
      </c>
      <c r="B830" t="s">
        <v>81</v>
      </c>
      <c r="C830" t="s">
        <v>24</v>
      </c>
      <c r="D830">
        <v>354</v>
      </c>
      <c r="E830">
        <v>32449</v>
      </c>
    </row>
    <row r="831" spans="1:5" x14ac:dyDescent="0.35">
      <c r="A831" s="2">
        <v>44652</v>
      </c>
      <c r="B831" t="s">
        <v>69</v>
      </c>
      <c r="C831" t="s">
        <v>24</v>
      </c>
      <c r="D831">
        <v>31</v>
      </c>
      <c r="E831">
        <v>5448</v>
      </c>
    </row>
    <row r="832" spans="1:5" x14ac:dyDescent="0.35">
      <c r="A832" s="2">
        <v>44652</v>
      </c>
      <c r="B832" t="s">
        <v>63</v>
      </c>
      <c r="C832" t="s">
        <v>24</v>
      </c>
      <c r="D832">
        <v>2</v>
      </c>
      <c r="E832">
        <v>702</v>
      </c>
    </row>
    <row r="833" spans="1:5" x14ac:dyDescent="0.35">
      <c r="A833" s="2">
        <v>44652</v>
      </c>
      <c r="B833" t="s">
        <v>70</v>
      </c>
      <c r="C833" t="s">
        <v>24</v>
      </c>
      <c r="D833">
        <v>3</v>
      </c>
      <c r="E833">
        <v>10147</v>
      </c>
    </row>
    <row r="834" spans="1:5" x14ac:dyDescent="0.35">
      <c r="A834" s="2">
        <v>44652</v>
      </c>
      <c r="B834" t="s">
        <v>82</v>
      </c>
      <c r="C834" t="s">
        <v>24</v>
      </c>
      <c r="D834">
        <v>87</v>
      </c>
      <c r="E834">
        <v>15176</v>
      </c>
    </row>
    <row r="835" spans="1:5" x14ac:dyDescent="0.35">
      <c r="A835" s="2">
        <v>44652</v>
      </c>
      <c r="B835" t="s">
        <v>83</v>
      </c>
      <c r="C835" t="s">
        <v>24</v>
      </c>
      <c r="D835">
        <v>154</v>
      </c>
      <c r="E835">
        <v>17499</v>
      </c>
    </row>
    <row r="836" spans="1:5" x14ac:dyDescent="0.35">
      <c r="A836" s="2">
        <v>44652</v>
      </c>
      <c r="B836" t="s">
        <v>84</v>
      </c>
      <c r="C836" t="s">
        <v>24</v>
      </c>
      <c r="D836">
        <v>11</v>
      </c>
      <c r="E836">
        <v>32173</v>
      </c>
    </row>
    <row r="837" spans="1:5" x14ac:dyDescent="0.35">
      <c r="A837" s="2">
        <v>44652</v>
      </c>
      <c r="B837" t="s">
        <v>71</v>
      </c>
      <c r="C837" t="s">
        <v>24</v>
      </c>
      <c r="D837">
        <v>49</v>
      </c>
      <c r="E837">
        <v>4116</v>
      </c>
    </row>
    <row r="838" spans="1:5" x14ac:dyDescent="0.35">
      <c r="A838" s="2">
        <v>44652</v>
      </c>
      <c r="B838" t="s">
        <v>85</v>
      </c>
      <c r="C838" t="s">
        <v>24</v>
      </c>
      <c r="D838">
        <v>40</v>
      </c>
      <c r="E838">
        <v>8560</v>
      </c>
    </row>
    <row r="839" spans="1:5" x14ac:dyDescent="0.35">
      <c r="A839" s="2">
        <v>44682</v>
      </c>
      <c r="B839" t="s">
        <v>76</v>
      </c>
      <c r="C839" t="s">
        <v>24</v>
      </c>
      <c r="D839">
        <v>59</v>
      </c>
      <c r="E839">
        <v>6927</v>
      </c>
    </row>
    <row r="840" spans="1:5" x14ac:dyDescent="0.35">
      <c r="A840" s="2">
        <v>44682</v>
      </c>
      <c r="B840" t="s">
        <v>54</v>
      </c>
      <c r="C840" t="s">
        <v>24</v>
      </c>
      <c r="D840">
        <v>7</v>
      </c>
      <c r="E840">
        <v>6761</v>
      </c>
    </row>
    <row r="841" spans="1:5" x14ac:dyDescent="0.35">
      <c r="A841" s="2">
        <v>44682</v>
      </c>
      <c r="B841" t="s">
        <v>65</v>
      </c>
      <c r="C841" t="s">
        <v>24</v>
      </c>
      <c r="D841">
        <v>12</v>
      </c>
      <c r="E841">
        <v>6495</v>
      </c>
    </row>
    <row r="842" spans="1:5" x14ac:dyDescent="0.35">
      <c r="A842" s="2">
        <v>44682</v>
      </c>
      <c r="B842" t="s">
        <v>66</v>
      </c>
      <c r="C842" t="s">
        <v>24</v>
      </c>
      <c r="D842">
        <v>20</v>
      </c>
      <c r="E842">
        <v>2248</v>
      </c>
    </row>
    <row r="843" spans="1:5" x14ac:dyDescent="0.35">
      <c r="A843" s="2">
        <v>44682</v>
      </c>
      <c r="B843" t="s">
        <v>55</v>
      </c>
      <c r="C843" t="s">
        <v>24</v>
      </c>
      <c r="D843">
        <v>24</v>
      </c>
      <c r="E843">
        <v>4397</v>
      </c>
    </row>
    <row r="844" spans="1:5" x14ac:dyDescent="0.35">
      <c r="A844" s="2">
        <v>44682</v>
      </c>
      <c r="B844" t="s">
        <v>67</v>
      </c>
      <c r="C844" t="s">
        <v>24</v>
      </c>
      <c r="D844">
        <v>750</v>
      </c>
      <c r="E844">
        <v>15194</v>
      </c>
    </row>
    <row r="845" spans="1:5" x14ac:dyDescent="0.35">
      <c r="A845" s="2">
        <v>44682</v>
      </c>
      <c r="B845" t="s">
        <v>77</v>
      </c>
      <c r="C845" t="s">
        <v>24</v>
      </c>
      <c r="D845">
        <v>51</v>
      </c>
      <c r="E845">
        <v>1360</v>
      </c>
    </row>
    <row r="846" spans="1:5" x14ac:dyDescent="0.35">
      <c r="A846" s="2">
        <v>44682</v>
      </c>
      <c r="B846" t="s">
        <v>78</v>
      </c>
      <c r="C846" t="s">
        <v>24</v>
      </c>
      <c r="D846">
        <v>163</v>
      </c>
      <c r="E846">
        <v>23174</v>
      </c>
    </row>
    <row r="847" spans="1:5" x14ac:dyDescent="0.35">
      <c r="A847" s="2">
        <v>44682</v>
      </c>
      <c r="B847" t="s">
        <v>74</v>
      </c>
      <c r="C847" t="s">
        <v>24</v>
      </c>
      <c r="D847">
        <v>31</v>
      </c>
      <c r="E847">
        <v>18343</v>
      </c>
    </row>
    <row r="848" spans="1:5" x14ac:dyDescent="0.35">
      <c r="A848" s="2">
        <v>44682</v>
      </c>
      <c r="B848" t="s">
        <v>72</v>
      </c>
      <c r="C848" t="s">
        <v>24</v>
      </c>
      <c r="D848">
        <v>3</v>
      </c>
      <c r="E848">
        <v>3778</v>
      </c>
    </row>
    <row r="849" spans="1:5" x14ac:dyDescent="0.35">
      <c r="A849" s="2">
        <v>44682</v>
      </c>
      <c r="B849" t="s">
        <v>57</v>
      </c>
      <c r="C849" t="s">
        <v>24</v>
      </c>
      <c r="D849">
        <v>2</v>
      </c>
      <c r="E849">
        <v>4775</v>
      </c>
    </row>
    <row r="850" spans="1:5" x14ac:dyDescent="0.35">
      <c r="A850" s="2">
        <v>44682</v>
      </c>
      <c r="B850" t="s">
        <v>75</v>
      </c>
      <c r="C850" t="s">
        <v>24</v>
      </c>
      <c r="D850">
        <v>3</v>
      </c>
      <c r="E850">
        <v>4306</v>
      </c>
    </row>
    <row r="851" spans="1:5" x14ac:dyDescent="0.35">
      <c r="A851" s="2">
        <v>44682</v>
      </c>
      <c r="B851" t="s">
        <v>79</v>
      </c>
      <c r="C851" t="s">
        <v>24</v>
      </c>
      <c r="D851">
        <v>241</v>
      </c>
      <c r="E851">
        <v>20924</v>
      </c>
    </row>
    <row r="852" spans="1:5" x14ac:dyDescent="0.35">
      <c r="A852" s="2">
        <v>44682</v>
      </c>
      <c r="B852" t="s">
        <v>80</v>
      </c>
      <c r="C852" t="s">
        <v>24</v>
      </c>
      <c r="D852">
        <v>258</v>
      </c>
      <c r="E852">
        <v>15706</v>
      </c>
    </row>
    <row r="853" spans="1:5" x14ac:dyDescent="0.35">
      <c r="A853" s="2">
        <v>44682</v>
      </c>
      <c r="B853" t="s">
        <v>68</v>
      </c>
      <c r="C853" t="s">
        <v>24</v>
      </c>
      <c r="D853">
        <v>43</v>
      </c>
      <c r="E853">
        <v>14017</v>
      </c>
    </row>
    <row r="854" spans="1:5" x14ac:dyDescent="0.35">
      <c r="A854" s="2">
        <v>44682</v>
      </c>
      <c r="B854" t="s">
        <v>81</v>
      </c>
      <c r="C854" t="s">
        <v>24</v>
      </c>
      <c r="D854">
        <v>794</v>
      </c>
      <c r="E854">
        <v>34222</v>
      </c>
    </row>
    <row r="855" spans="1:5" x14ac:dyDescent="0.35">
      <c r="A855" s="2">
        <v>44682</v>
      </c>
      <c r="B855" t="s">
        <v>60</v>
      </c>
      <c r="C855" t="s">
        <v>24</v>
      </c>
      <c r="D855">
        <v>3</v>
      </c>
      <c r="E855">
        <v>1051</v>
      </c>
    </row>
    <row r="856" spans="1:5" x14ac:dyDescent="0.35">
      <c r="A856" s="2">
        <v>44682</v>
      </c>
      <c r="B856" t="s">
        <v>69</v>
      </c>
      <c r="C856" t="s">
        <v>24</v>
      </c>
      <c r="D856">
        <v>40</v>
      </c>
      <c r="E856">
        <v>5583</v>
      </c>
    </row>
    <row r="857" spans="1:5" x14ac:dyDescent="0.35">
      <c r="A857" s="2">
        <v>44682</v>
      </c>
      <c r="B857" t="s">
        <v>63</v>
      </c>
      <c r="C857" t="s">
        <v>24</v>
      </c>
      <c r="D857">
        <v>2</v>
      </c>
      <c r="E857">
        <v>726</v>
      </c>
    </row>
    <row r="858" spans="1:5" x14ac:dyDescent="0.35">
      <c r="A858" s="2">
        <v>44682</v>
      </c>
      <c r="B858" t="s">
        <v>70</v>
      </c>
      <c r="C858" t="s">
        <v>24</v>
      </c>
      <c r="D858">
        <v>2</v>
      </c>
      <c r="E858">
        <v>9843</v>
      </c>
    </row>
    <row r="859" spans="1:5" x14ac:dyDescent="0.35">
      <c r="A859" s="2">
        <v>44682</v>
      </c>
      <c r="B859" t="s">
        <v>82</v>
      </c>
      <c r="C859" t="s">
        <v>24</v>
      </c>
      <c r="D859">
        <v>124</v>
      </c>
      <c r="E859">
        <v>17047</v>
      </c>
    </row>
    <row r="860" spans="1:5" x14ac:dyDescent="0.35">
      <c r="A860" s="2">
        <v>44682</v>
      </c>
      <c r="B860" t="s">
        <v>83</v>
      </c>
      <c r="C860" t="s">
        <v>24</v>
      </c>
      <c r="D860">
        <v>202</v>
      </c>
      <c r="E860">
        <v>19368</v>
      </c>
    </row>
    <row r="861" spans="1:5" x14ac:dyDescent="0.35">
      <c r="A861" s="2">
        <v>44682</v>
      </c>
      <c r="B861" t="s">
        <v>84</v>
      </c>
      <c r="C861" t="s">
        <v>24</v>
      </c>
      <c r="D861">
        <v>26</v>
      </c>
      <c r="E861">
        <v>30695</v>
      </c>
    </row>
    <row r="862" spans="1:5" x14ac:dyDescent="0.35">
      <c r="A862" s="2">
        <v>44682</v>
      </c>
      <c r="B862" t="s">
        <v>71</v>
      </c>
      <c r="C862" t="s">
        <v>24</v>
      </c>
      <c r="D862">
        <v>22</v>
      </c>
      <c r="E862">
        <v>3948</v>
      </c>
    </row>
    <row r="863" spans="1:5" x14ac:dyDescent="0.35">
      <c r="A863" s="2">
        <v>44682</v>
      </c>
      <c r="B863" t="s">
        <v>85</v>
      </c>
      <c r="C863" t="s">
        <v>24</v>
      </c>
      <c r="D863">
        <v>76</v>
      </c>
      <c r="E863">
        <v>8341</v>
      </c>
    </row>
    <row r="864" spans="1:5" x14ac:dyDescent="0.35">
      <c r="A864" s="2">
        <v>44713</v>
      </c>
      <c r="B864" t="s">
        <v>76</v>
      </c>
      <c r="C864" t="s">
        <v>24</v>
      </c>
      <c r="D864">
        <v>47</v>
      </c>
      <c r="E864">
        <v>6652</v>
      </c>
    </row>
    <row r="865" spans="1:5" x14ac:dyDescent="0.35">
      <c r="A865" s="2">
        <v>44713</v>
      </c>
      <c r="B865" t="s">
        <v>54</v>
      </c>
      <c r="C865" t="s">
        <v>24</v>
      </c>
      <c r="D865">
        <v>9</v>
      </c>
      <c r="E865">
        <v>5825</v>
      </c>
    </row>
    <row r="866" spans="1:5" x14ac:dyDescent="0.35">
      <c r="A866" s="2">
        <v>44713</v>
      </c>
      <c r="B866" t="s">
        <v>65</v>
      </c>
      <c r="C866" t="s">
        <v>24</v>
      </c>
      <c r="D866">
        <v>16</v>
      </c>
      <c r="E866">
        <v>5543</v>
      </c>
    </row>
    <row r="867" spans="1:5" x14ac:dyDescent="0.35">
      <c r="A867" s="2">
        <v>44713</v>
      </c>
      <c r="B867" t="s">
        <v>66</v>
      </c>
      <c r="C867" t="s">
        <v>24</v>
      </c>
      <c r="D867">
        <v>19</v>
      </c>
      <c r="E867">
        <v>1993</v>
      </c>
    </row>
    <row r="868" spans="1:5" x14ac:dyDescent="0.35">
      <c r="A868" s="2">
        <v>44713</v>
      </c>
      <c r="B868" t="s">
        <v>55</v>
      </c>
      <c r="C868" t="s">
        <v>24</v>
      </c>
      <c r="D868">
        <v>32</v>
      </c>
      <c r="E868">
        <v>3933</v>
      </c>
    </row>
    <row r="869" spans="1:5" x14ac:dyDescent="0.35">
      <c r="A869" s="2">
        <v>44713</v>
      </c>
      <c r="B869" t="s">
        <v>56</v>
      </c>
      <c r="C869" t="s">
        <v>24</v>
      </c>
      <c r="D869">
        <v>4</v>
      </c>
      <c r="E869">
        <v>369</v>
      </c>
    </row>
    <row r="870" spans="1:5" x14ac:dyDescent="0.35">
      <c r="A870" s="2">
        <v>44713</v>
      </c>
      <c r="B870" t="s">
        <v>67</v>
      </c>
      <c r="C870" t="s">
        <v>24</v>
      </c>
      <c r="D870">
        <v>267</v>
      </c>
      <c r="E870">
        <v>14908</v>
      </c>
    </row>
    <row r="871" spans="1:5" x14ac:dyDescent="0.35">
      <c r="A871" s="2">
        <v>44713</v>
      </c>
      <c r="B871" t="s">
        <v>77</v>
      </c>
      <c r="C871" t="s">
        <v>24</v>
      </c>
      <c r="D871">
        <v>74</v>
      </c>
      <c r="E871">
        <v>1342</v>
      </c>
    </row>
    <row r="872" spans="1:5" x14ac:dyDescent="0.35">
      <c r="A872" s="2">
        <v>44713</v>
      </c>
      <c r="B872" t="s">
        <v>78</v>
      </c>
      <c r="C872" t="s">
        <v>24</v>
      </c>
      <c r="D872">
        <v>337</v>
      </c>
      <c r="E872">
        <v>26192</v>
      </c>
    </row>
    <row r="873" spans="1:5" x14ac:dyDescent="0.35">
      <c r="A873" s="2">
        <v>44713</v>
      </c>
      <c r="B873" t="s">
        <v>74</v>
      </c>
      <c r="C873" t="s">
        <v>24</v>
      </c>
      <c r="D873">
        <v>26</v>
      </c>
      <c r="E873">
        <v>17365</v>
      </c>
    </row>
    <row r="874" spans="1:5" x14ac:dyDescent="0.35">
      <c r="A874" s="2">
        <v>44713</v>
      </c>
      <c r="B874" t="s">
        <v>72</v>
      </c>
      <c r="C874" t="s">
        <v>24</v>
      </c>
      <c r="D874">
        <v>2</v>
      </c>
      <c r="E874">
        <v>3457</v>
      </c>
    </row>
    <row r="875" spans="1:5" x14ac:dyDescent="0.35">
      <c r="A875" s="2">
        <v>44713</v>
      </c>
      <c r="B875" t="s">
        <v>57</v>
      </c>
      <c r="C875" t="s">
        <v>24</v>
      </c>
      <c r="D875">
        <v>4</v>
      </c>
      <c r="E875">
        <v>4239</v>
      </c>
    </row>
    <row r="876" spans="1:5" x14ac:dyDescent="0.35">
      <c r="A876" s="2">
        <v>44713</v>
      </c>
      <c r="B876" t="s">
        <v>75</v>
      </c>
      <c r="C876" t="s">
        <v>24</v>
      </c>
      <c r="D876">
        <v>19</v>
      </c>
      <c r="E876">
        <v>4097</v>
      </c>
    </row>
    <row r="877" spans="1:5" x14ac:dyDescent="0.35">
      <c r="A877" s="2">
        <v>44713</v>
      </c>
      <c r="B877" t="s">
        <v>79</v>
      </c>
      <c r="C877" t="s">
        <v>24</v>
      </c>
      <c r="D877">
        <v>359</v>
      </c>
      <c r="E877">
        <v>22817</v>
      </c>
    </row>
    <row r="878" spans="1:5" x14ac:dyDescent="0.35">
      <c r="A878" s="2">
        <v>44713</v>
      </c>
      <c r="B878" t="s">
        <v>80</v>
      </c>
      <c r="C878" t="s">
        <v>24</v>
      </c>
      <c r="D878">
        <v>345</v>
      </c>
      <c r="E878">
        <v>16486</v>
      </c>
    </row>
    <row r="879" spans="1:5" x14ac:dyDescent="0.35">
      <c r="A879" s="2">
        <v>44713</v>
      </c>
      <c r="B879" t="s">
        <v>68</v>
      </c>
      <c r="C879" t="s">
        <v>24</v>
      </c>
      <c r="D879">
        <v>42</v>
      </c>
      <c r="E879">
        <v>12480</v>
      </c>
    </row>
    <row r="880" spans="1:5" x14ac:dyDescent="0.35">
      <c r="A880" s="2">
        <v>44713</v>
      </c>
      <c r="B880" t="s">
        <v>81</v>
      </c>
      <c r="C880" t="s">
        <v>24</v>
      </c>
      <c r="D880">
        <v>1082</v>
      </c>
      <c r="E880">
        <v>35587</v>
      </c>
    </row>
    <row r="881" spans="1:5" x14ac:dyDescent="0.35">
      <c r="A881" s="2">
        <v>44713</v>
      </c>
      <c r="B881" t="s">
        <v>69</v>
      </c>
      <c r="C881" t="s">
        <v>24</v>
      </c>
      <c r="D881">
        <v>32</v>
      </c>
      <c r="E881">
        <v>5778</v>
      </c>
    </row>
    <row r="882" spans="1:5" x14ac:dyDescent="0.35">
      <c r="A882" s="2">
        <v>44713</v>
      </c>
      <c r="B882" t="s">
        <v>63</v>
      </c>
      <c r="C882" t="s">
        <v>24</v>
      </c>
      <c r="D882">
        <v>9</v>
      </c>
      <c r="E882">
        <v>808</v>
      </c>
    </row>
    <row r="883" spans="1:5" x14ac:dyDescent="0.35">
      <c r="A883" s="2">
        <v>44713</v>
      </c>
      <c r="B883" t="s">
        <v>70</v>
      </c>
      <c r="C883" t="s">
        <v>24</v>
      </c>
      <c r="D883">
        <v>3</v>
      </c>
      <c r="E883">
        <v>9388</v>
      </c>
    </row>
    <row r="884" spans="1:5" x14ac:dyDescent="0.35">
      <c r="A884" s="2">
        <v>44713</v>
      </c>
      <c r="B884" t="s">
        <v>82</v>
      </c>
      <c r="C884" t="s">
        <v>24</v>
      </c>
      <c r="D884">
        <v>136</v>
      </c>
      <c r="E884">
        <v>13559</v>
      </c>
    </row>
    <row r="885" spans="1:5" x14ac:dyDescent="0.35">
      <c r="A885" s="2">
        <v>44713</v>
      </c>
      <c r="B885" t="s">
        <v>83</v>
      </c>
      <c r="C885" t="s">
        <v>24</v>
      </c>
      <c r="D885">
        <v>199</v>
      </c>
      <c r="E885">
        <v>20592</v>
      </c>
    </row>
    <row r="886" spans="1:5" x14ac:dyDescent="0.35">
      <c r="A886" s="2">
        <v>44713</v>
      </c>
      <c r="B886" t="s">
        <v>84</v>
      </c>
      <c r="C886" t="s">
        <v>24</v>
      </c>
      <c r="D886">
        <v>17</v>
      </c>
      <c r="E886">
        <v>27820</v>
      </c>
    </row>
    <row r="887" spans="1:5" x14ac:dyDescent="0.35">
      <c r="A887" s="2">
        <v>44713</v>
      </c>
      <c r="B887" t="s">
        <v>71</v>
      </c>
      <c r="C887" t="s">
        <v>24</v>
      </c>
      <c r="D887">
        <v>38</v>
      </c>
      <c r="E887">
        <v>3959</v>
      </c>
    </row>
    <row r="888" spans="1:5" x14ac:dyDescent="0.35">
      <c r="A888" s="2">
        <v>44713</v>
      </c>
      <c r="B888" t="s">
        <v>85</v>
      </c>
      <c r="C888" t="s">
        <v>24</v>
      </c>
      <c r="D888">
        <v>91</v>
      </c>
      <c r="E888">
        <v>8407</v>
      </c>
    </row>
    <row r="889" spans="1:5" x14ac:dyDescent="0.35">
      <c r="A889" s="2">
        <v>44743</v>
      </c>
      <c r="B889" t="s">
        <v>76</v>
      </c>
      <c r="C889" t="s">
        <v>24</v>
      </c>
      <c r="D889">
        <v>63</v>
      </c>
      <c r="E889">
        <v>6757</v>
      </c>
    </row>
    <row r="890" spans="1:5" x14ac:dyDescent="0.35">
      <c r="A890" s="2">
        <v>44743</v>
      </c>
      <c r="B890" t="s">
        <v>54</v>
      </c>
      <c r="C890" t="s">
        <v>24</v>
      </c>
      <c r="D890">
        <v>11</v>
      </c>
      <c r="E890">
        <v>6769</v>
      </c>
    </row>
    <row r="891" spans="1:5" x14ac:dyDescent="0.35">
      <c r="A891" s="2">
        <v>44743</v>
      </c>
      <c r="B891" t="s">
        <v>65</v>
      </c>
      <c r="C891" t="s">
        <v>24</v>
      </c>
      <c r="D891">
        <v>10</v>
      </c>
      <c r="E891">
        <v>5215</v>
      </c>
    </row>
    <row r="892" spans="1:5" x14ac:dyDescent="0.35">
      <c r="A892" s="2">
        <v>44743</v>
      </c>
      <c r="B892" t="s">
        <v>66</v>
      </c>
      <c r="C892" t="s">
        <v>24</v>
      </c>
      <c r="D892">
        <v>21</v>
      </c>
      <c r="E892">
        <v>2709</v>
      </c>
    </row>
    <row r="893" spans="1:5" x14ac:dyDescent="0.35">
      <c r="A893" s="2">
        <v>44743</v>
      </c>
      <c r="B893" t="s">
        <v>55</v>
      </c>
      <c r="C893" t="s">
        <v>24</v>
      </c>
      <c r="D893">
        <v>29</v>
      </c>
      <c r="E893">
        <v>4394</v>
      </c>
    </row>
    <row r="894" spans="1:5" x14ac:dyDescent="0.35">
      <c r="A894" s="2">
        <v>44743</v>
      </c>
      <c r="B894" t="s">
        <v>67</v>
      </c>
      <c r="C894" t="s">
        <v>24</v>
      </c>
      <c r="D894">
        <v>438</v>
      </c>
      <c r="E894">
        <v>16056</v>
      </c>
    </row>
    <row r="895" spans="1:5" x14ac:dyDescent="0.35">
      <c r="A895" s="2">
        <v>44743</v>
      </c>
      <c r="B895" t="s">
        <v>77</v>
      </c>
      <c r="C895" t="s">
        <v>24</v>
      </c>
      <c r="D895">
        <v>107</v>
      </c>
      <c r="E895">
        <v>1545</v>
      </c>
    </row>
    <row r="896" spans="1:5" x14ac:dyDescent="0.35">
      <c r="A896" s="2">
        <v>44743</v>
      </c>
      <c r="B896" t="s">
        <v>78</v>
      </c>
      <c r="C896" t="s">
        <v>24</v>
      </c>
      <c r="D896">
        <v>308</v>
      </c>
      <c r="E896">
        <v>24735</v>
      </c>
    </row>
    <row r="897" spans="1:5" x14ac:dyDescent="0.35">
      <c r="A897" s="2">
        <v>44743</v>
      </c>
      <c r="B897" t="s">
        <v>74</v>
      </c>
      <c r="C897" t="s">
        <v>24</v>
      </c>
      <c r="D897">
        <v>135</v>
      </c>
      <c r="E897">
        <v>17539</v>
      </c>
    </row>
    <row r="898" spans="1:5" x14ac:dyDescent="0.35">
      <c r="A898" s="2">
        <v>44743</v>
      </c>
      <c r="B898" t="s">
        <v>72</v>
      </c>
      <c r="C898" t="s">
        <v>24</v>
      </c>
      <c r="D898">
        <v>6</v>
      </c>
      <c r="E898">
        <v>3618</v>
      </c>
    </row>
    <row r="899" spans="1:5" x14ac:dyDescent="0.35">
      <c r="A899" s="2">
        <v>44743</v>
      </c>
      <c r="B899" t="s">
        <v>57</v>
      </c>
      <c r="C899" t="s">
        <v>24</v>
      </c>
      <c r="D899">
        <v>9</v>
      </c>
      <c r="E899">
        <v>4577</v>
      </c>
    </row>
    <row r="900" spans="1:5" x14ac:dyDescent="0.35">
      <c r="A900" s="2">
        <v>44743</v>
      </c>
      <c r="B900" t="s">
        <v>75</v>
      </c>
      <c r="C900" t="s">
        <v>24</v>
      </c>
      <c r="D900">
        <v>7</v>
      </c>
      <c r="E900">
        <v>4187</v>
      </c>
    </row>
    <row r="901" spans="1:5" x14ac:dyDescent="0.35">
      <c r="A901" s="2">
        <v>44743</v>
      </c>
      <c r="B901" t="s">
        <v>79</v>
      </c>
      <c r="C901" t="s">
        <v>24</v>
      </c>
      <c r="D901">
        <v>358</v>
      </c>
      <c r="E901">
        <v>19322</v>
      </c>
    </row>
    <row r="902" spans="1:5" x14ac:dyDescent="0.35">
      <c r="A902" s="2">
        <v>44743</v>
      </c>
      <c r="B902" t="s">
        <v>80</v>
      </c>
      <c r="C902" t="s">
        <v>24</v>
      </c>
      <c r="D902">
        <v>292</v>
      </c>
      <c r="E902">
        <v>14993</v>
      </c>
    </row>
    <row r="903" spans="1:5" x14ac:dyDescent="0.35">
      <c r="A903" s="2">
        <v>44743</v>
      </c>
      <c r="B903" t="s">
        <v>68</v>
      </c>
      <c r="C903" t="s">
        <v>24</v>
      </c>
      <c r="D903">
        <v>45</v>
      </c>
      <c r="E903">
        <v>11437</v>
      </c>
    </row>
    <row r="904" spans="1:5" x14ac:dyDescent="0.35">
      <c r="A904" s="2">
        <v>44743</v>
      </c>
      <c r="B904" t="s">
        <v>81</v>
      </c>
      <c r="C904" t="s">
        <v>24</v>
      </c>
      <c r="D904">
        <v>1098</v>
      </c>
      <c r="E904">
        <v>35100</v>
      </c>
    </row>
    <row r="905" spans="1:5" x14ac:dyDescent="0.35">
      <c r="A905" s="2">
        <v>44743</v>
      </c>
      <c r="B905" t="s">
        <v>60</v>
      </c>
      <c r="C905" t="s">
        <v>24</v>
      </c>
      <c r="D905">
        <v>2</v>
      </c>
      <c r="E905">
        <v>1053</v>
      </c>
    </row>
    <row r="906" spans="1:5" x14ac:dyDescent="0.35">
      <c r="A906" s="2">
        <v>44743</v>
      </c>
      <c r="B906" t="s">
        <v>69</v>
      </c>
      <c r="C906" t="s">
        <v>24</v>
      </c>
      <c r="D906">
        <v>29</v>
      </c>
      <c r="E906">
        <v>5336</v>
      </c>
    </row>
    <row r="907" spans="1:5" x14ac:dyDescent="0.35">
      <c r="A907" s="2">
        <v>44743</v>
      </c>
      <c r="B907" t="s">
        <v>63</v>
      </c>
      <c r="C907" t="s">
        <v>24</v>
      </c>
      <c r="D907">
        <v>5</v>
      </c>
      <c r="E907">
        <v>681</v>
      </c>
    </row>
    <row r="908" spans="1:5" x14ac:dyDescent="0.35">
      <c r="A908" s="2">
        <v>44743</v>
      </c>
      <c r="B908" t="s">
        <v>70</v>
      </c>
      <c r="C908" t="s">
        <v>24</v>
      </c>
      <c r="D908">
        <v>7</v>
      </c>
      <c r="E908">
        <v>9415</v>
      </c>
    </row>
    <row r="909" spans="1:5" x14ac:dyDescent="0.35">
      <c r="A909" s="2">
        <v>44743</v>
      </c>
      <c r="B909" t="s">
        <v>82</v>
      </c>
      <c r="C909" t="s">
        <v>24</v>
      </c>
      <c r="D909">
        <v>102</v>
      </c>
      <c r="E909">
        <v>12817</v>
      </c>
    </row>
    <row r="910" spans="1:5" x14ac:dyDescent="0.35">
      <c r="A910" s="2">
        <v>44743</v>
      </c>
      <c r="B910" t="s">
        <v>83</v>
      </c>
      <c r="C910" t="s">
        <v>24</v>
      </c>
      <c r="D910">
        <v>176</v>
      </c>
      <c r="E910">
        <v>17830</v>
      </c>
    </row>
    <row r="911" spans="1:5" x14ac:dyDescent="0.35">
      <c r="A911" s="2">
        <v>44743</v>
      </c>
      <c r="B911" t="s">
        <v>84</v>
      </c>
      <c r="C911" t="s">
        <v>24</v>
      </c>
      <c r="D911">
        <v>19</v>
      </c>
      <c r="E911">
        <v>27276</v>
      </c>
    </row>
    <row r="912" spans="1:5" x14ac:dyDescent="0.35">
      <c r="A912" s="2">
        <v>44743</v>
      </c>
      <c r="B912" t="s">
        <v>71</v>
      </c>
      <c r="C912" t="s">
        <v>24</v>
      </c>
      <c r="D912">
        <v>34</v>
      </c>
      <c r="E912">
        <v>3820</v>
      </c>
    </row>
    <row r="913" spans="1:5" x14ac:dyDescent="0.35">
      <c r="A913" s="2">
        <v>44743</v>
      </c>
      <c r="B913" t="s">
        <v>85</v>
      </c>
      <c r="C913" t="s">
        <v>24</v>
      </c>
      <c r="D913">
        <v>93</v>
      </c>
      <c r="E913">
        <v>8312</v>
      </c>
    </row>
    <row r="914" spans="1:5" x14ac:dyDescent="0.35">
      <c r="A914" s="2">
        <v>44774</v>
      </c>
      <c r="B914" t="s">
        <v>76</v>
      </c>
      <c r="C914" t="s">
        <v>24</v>
      </c>
      <c r="D914">
        <v>64</v>
      </c>
      <c r="E914">
        <v>7491</v>
      </c>
    </row>
    <row r="915" spans="1:5" x14ac:dyDescent="0.35">
      <c r="A915" s="2">
        <v>44774</v>
      </c>
      <c r="B915" t="s">
        <v>54</v>
      </c>
      <c r="C915" t="s">
        <v>24</v>
      </c>
      <c r="D915">
        <v>10</v>
      </c>
      <c r="E915">
        <v>6733</v>
      </c>
    </row>
    <row r="916" spans="1:5" x14ac:dyDescent="0.35">
      <c r="A916" s="2">
        <v>44774</v>
      </c>
      <c r="B916" t="s">
        <v>65</v>
      </c>
      <c r="C916" t="s">
        <v>24</v>
      </c>
      <c r="D916">
        <v>15</v>
      </c>
      <c r="E916">
        <v>5012</v>
      </c>
    </row>
    <row r="917" spans="1:5" x14ac:dyDescent="0.35">
      <c r="A917" s="2">
        <v>44774</v>
      </c>
      <c r="B917" t="s">
        <v>66</v>
      </c>
      <c r="C917" t="s">
        <v>24</v>
      </c>
      <c r="D917">
        <v>19</v>
      </c>
      <c r="E917">
        <v>1903</v>
      </c>
    </row>
    <row r="918" spans="1:5" x14ac:dyDescent="0.35">
      <c r="A918" s="2">
        <v>44774</v>
      </c>
      <c r="B918" t="s">
        <v>55</v>
      </c>
      <c r="C918" t="s">
        <v>24</v>
      </c>
      <c r="D918">
        <v>35</v>
      </c>
      <c r="E918">
        <v>3974</v>
      </c>
    </row>
    <row r="919" spans="1:5" x14ac:dyDescent="0.35">
      <c r="A919" s="2">
        <v>44774</v>
      </c>
      <c r="B919" t="s">
        <v>67</v>
      </c>
      <c r="C919" t="s">
        <v>24</v>
      </c>
      <c r="D919">
        <v>443</v>
      </c>
      <c r="E919">
        <v>16315</v>
      </c>
    </row>
    <row r="920" spans="1:5" x14ac:dyDescent="0.35">
      <c r="A920" s="2">
        <v>44774</v>
      </c>
      <c r="B920" t="s">
        <v>77</v>
      </c>
      <c r="C920" t="s">
        <v>24</v>
      </c>
      <c r="D920">
        <v>44</v>
      </c>
      <c r="E920">
        <v>2364</v>
      </c>
    </row>
    <row r="921" spans="1:5" x14ac:dyDescent="0.35">
      <c r="A921" s="2">
        <v>44774</v>
      </c>
      <c r="B921" t="s">
        <v>78</v>
      </c>
      <c r="C921" t="s">
        <v>24</v>
      </c>
      <c r="D921">
        <v>230</v>
      </c>
      <c r="E921">
        <v>23571</v>
      </c>
    </row>
    <row r="922" spans="1:5" x14ac:dyDescent="0.35">
      <c r="A922" s="2">
        <v>44774</v>
      </c>
      <c r="B922" t="s">
        <v>74</v>
      </c>
      <c r="C922" t="s">
        <v>24</v>
      </c>
      <c r="D922">
        <v>163</v>
      </c>
      <c r="E922">
        <v>18545</v>
      </c>
    </row>
    <row r="923" spans="1:5" x14ac:dyDescent="0.35">
      <c r="A923" s="2">
        <v>44774</v>
      </c>
      <c r="B923" t="s">
        <v>72</v>
      </c>
      <c r="C923" t="s">
        <v>24</v>
      </c>
      <c r="D923">
        <v>2</v>
      </c>
      <c r="E923">
        <v>3517</v>
      </c>
    </row>
    <row r="924" spans="1:5" x14ac:dyDescent="0.35">
      <c r="A924" s="2">
        <v>44774</v>
      </c>
      <c r="B924" t="s">
        <v>57</v>
      </c>
      <c r="C924" t="s">
        <v>24</v>
      </c>
      <c r="D924">
        <v>3</v>
      </c>
      <c r="E924">
        <v>4299</v>
      </c>
    </row>
    <row r="925" spans="1:5" x14ac:dyDescent="0.35">
      <c r="A925" s="2">
        <v>44774</v>
      </c>
      <c r="B925" t="s">
        <v>75</v>
      </c>
      <c r="C925" t="s">
        <v>24</v>
      </c>
      <c r="D925">
        <v>15</v>
      </c>
      <c r="E925">
        <v>4040</v>
      </c>
    </row>
    <row r="926" spans="1:5" x14ac:dyDescent="0.35">
      <c r="A926" s="2">
        <v>44774</v>
      </c>
      <c r="B926" t="s">
        <v>79</v>
      </c>
      <c r="C926" t="s">
        <v>24</v>
      </c>
      <c r="D926">
        <v>363</v>
      </c>
      <c r="E926">
        <v>23924</v>
      </c>
    </row>
    <row r="927" spans="1:5" x14ac:dyDescent="0.35">
      <c r="A927" s="2">
        <v>44774</v>
      </c>
      <c r="B927" t="s">
        <v>80</v>
      </c>
      <c r="C927" t="s">
        <v>24</v>
      </c>
      <c r="D927">
        <v>342</v>
      </c>
      <c r="E927">
        <v>21051</v>
      </c>
    </row>
    <row r="928" spans="1:5" x14ac:dyDescent="0.35">
      <c r="A928" s="2">
        <v>44774</v>
      </c>
      <c r="B928" t="s">
        <v>58</v>
      </c>
      <c r="C928" t="s">
        <v>24</v>
      </c>
      <c r="D928">
        <v>9</v>
      </c>
      <c r="E928">
        <v>269</v>
      </c>
    </row>
    <row r="929" spans="1:5" x14ac:dyDescent="0.35">
      <c r="A929" s="2">
        <v>44774</v>
      </c>
      <c r="B929" t="s">
        <v>68</v>
      </c>
      <c r="C929" t="s">
        <v>24</v>
      </c>
      <c r="D929">
        <v>72</v>
      </c>
      <c r="E929">
        <v>15953</v>
      </c>
    </row>
    <row r="930" spans="1:5" x14ac:dyDescent="0.35">
      <c r="A930" s="2">
        <v>44774</v>
      </c>
      <c r="B930" t="s">
        <v>81</v>
      </c>
      <c r="C930" t="s">
        <v>24</v>
      </c>
      <c r="D930">
        <v>992</v>
      </c>
      <c r="E930">
        <v>40173</v>
      </c>
    </row>
    <row r="931" spans="1:5" x14ac:dyDescent="0.35">
      <c r="A931" s="2">
        <v>44774</v>
      </c>
      <c r="B931" t="s">
        <v>69</v>
      </c>
      <c r="C931" t="s">
        <v>24</v>
      </c>
      <c r="D931">
        <v>43</v>
      </c>
      <c r="E931">
        <v>5716</v>
      </c>
    </row>
    <row r="932" spans="1:5" x14ac:dyDescent="0.35">
      <c r="A932" s="2">
        <v>44774</v>
      </c>
      <c r="B932" t="s">
        <v>63</v>
      </c>
      <c r="C932" t="s">
        <v>24</v>
      </c>
      <c r="D932">
        <v>4</v>
      </c>
      <c r="E932">
        <v>758</v>
      </c>
    </row>
    <row r="933" spans="1:5" x14ac:dyDescent="0.35">
      <c r="A933" s="2">
        <v>44774</v>
      </c>
      <c r="B933" t="s">
        <v>70</v>
      </c>
      <c r="C933" t="s">
        <v>24</v>
      </c>
      <c r="D933">
        <v>3</v>
      </c>
      <c r="E933">
        <v>9913</v>
      </c>
    </row>
    <row r="934" spans="1:5" x14ac:dyDescent="0.35">
      <c r="A934" s="2">
        <v>44774</v>
      </c>
      <c r="B934" t="s">
        <v>82</v>
      </c>
      <c r="C934" t="s">
        <v>24</v>
      </c>
      <c r="D934">
        <v>145</v>
      </c>
      <c r="E934">
        <v>12578</v>
      </c>
    </row>
    <row r="935" spans="1:5" x14ac:dyDescent="0.35">
      <c r="A935" s="2">
        <v>44774</v>
      </c>
      <c r="B935" t="s">
        <v>83</v>
      </c>
      <c r="C935" t="s">
        <v>24</v>
      </c>
      <c r="D935">
        <v>182</v>
      </c>
      <c r="E935">
        <v>20944</v>
      </c>
    </row>
    <row r="936" spans="1:5" x14ac:dyDescent="0.35">
      <c r="A936" s="2">
        <v>44774</v>
      </c>
      <c r="B936" t="s">
        <v>84</v>
      </c>
      <c r="C936" t="s">
        <v>24</v>
      </c>
      <c r="D936">
        <v>15</v>
      </c>
      <c r="E936">
        <v>25778</v>
      </c>
    </row>
    <row r="937" spans="1:5" x14ac:dyDescent="0.35">
      <c r="A937" s="2">
        <v>44774</v>
      </c>
      <c r="B937" t="s">
        <v>71</v>
      </c>
      <c r="C937" t="s">
        <v>24</v>
      </c>
      <c r="D937">
        <v>34</v>
      </c>
      <c r="E937">
        <v>3599</v>
      </c>
    </row>
    <row r="938" spans="1:5" x14ac:dyDescent="0.35">
      <c r="A938" s="2">
        <v>44774</v>
      </c>
      <c r="B938" t="s">
        <v>85</v>
      </c>
      <c r="C938" t="s">
        <v>24</v>
      </c>
      <c r="D938">
        <v>110</v>
      </c>
      <c r="E938">
        <v>9228</v>
      </c>
    </row>
    <row r="939" spans="1:5" x14ac:dyDescent="0.35">
      <c r="A939" s="2">
        <v>44805</v>
      </c>
      <c r="B939" t="s">
        <v>76</v>
      </c>
      <c r="C939" t="s">
        <v>24</v>
      </c>
      <c r="D939">
        <v>61</v>
      </c>
      <c r="E939">
        <v>8003</v>
      </c>
    </row>
    <row r="940" spans="1:5" x14ac:dyDescent="0.35">
      <c r="A940" s="2">
        <v>44805</v>
      </c>
      <c r="B940" t="s">
        <v>54</v>
      </c>
      <c r="C940" t="s">
        <v>24</v>
      </c>
      <c r="D940">
        <v>13</v>
      </c>
      <c r="E940">
        <v>8690</v>
      </c>
    </row>
    <row r="941" spans="1:5" x14ac:dyDescent="0.35">
      <c r="A941" s="2">
        <v>44805</v>
      </c>
      <c r="B941" t="s">
        <v>65</v>
      </c>
      <c r="C941" t="s">
        <v>24</v>
      </c>
      <c r="D941">
        <v>14</v>
      </c>
      <c r="E941">
        <v>5315</v>
      </c>
    </row>
    <row r="942" spans="1:5" x14ac:dyDescent="0.35">
      <c r="A942" s="2">
        <v>44805</v>
      </c>
      <c r="B942" t="s">
        <v>66</v>
      </c>
      <c r="C942" t="s">
        <v>24</v>
      </c>
      <c r="D942">
        <v>26</v>
      </c>
      <c r="E942">
        <v>2119</v>
      </c>
    </row>
    <row r="943" spans="1:5" x14ac:dyDescent="0.35">
      <c r="A943" s="2">
        <v>44805</v>
      </c>
      <c r="B943" t="s">
        <v>55</v>
      </c>
      <c r="C943" t="s">
        <v>24</v>
      </c>
      <c r="D943">
        <v>50</v>
      </c>
      <c r="E943">
        <v>3978</v>
      </c>
    </row>
    <row r="944" spans="1:5" x14ac:dyDescent="0.35">
      <c r="A944" s="2">
        <v>44805</v>
      </c>
      <c r="B944" t="s">
        <v>67</v>
      </c>
      <c r="C944" t="s">
        <v>24</v>
      </c>
      <c r="D944">
        <v>471</v>
      </c>
      <c r="E944">
        <v>14076</v>
      </c>
    </row>
    <row r="945" spans="1:5" x14ac:dyDescent="0.35">
      <c r="A945" s="2">
        <v>44805</v>
      </c>
      <c r="B945" t="s">
        <v>77</v>
      </c>
      <c r="C945" t="s">
        <v>24</v>
      </c>
      <c r="D945">
        <v>42</v>
      </c>
      <c r="E945">
        <v>1687</v>
      </c>
    </row>
    <row r="946" spans="1:5" x14ac:dyDescent="0.35">
      <c r="A946" s="2">
        <v>44805</v>
      </c>
      <c r="B946" t="s">
        <v>78</v>
      </c>
      <c r="C946" t="s">
        <v>24</v>
      </c>
      <c r="D946">
        <v>299</v>
      </c>
      <c r="E946">
        <v>25102</v>
      </c>
    </row>
    <row r="947" spans="1:5" x14ac:dyDescent="0.35">
      <c r="A947" s="2">
        <v>44805</v>
      </c>
      <c r="B947" t="s">
        <v>74</v>
      </c>
      <c r="C947" t="s">
        <v>24</v>
      </c>
      <c r="D947">
        <v>49</v>
      </c>
      <c r="E947">
        <v>14140</v>
      </c>
    </row>
    <row r="948" spans="1:5" x14ac:dyDescent="0.35">
      <c r="A948" s="2">
        <v>44805</v>
      </c>
      <c r="B948" t="s">
        <v>72</v>
      </c>
      <c r="C948" t="s">
        <v>24</v>
      </c>
      <c r="D948">
        <v>4</v>
      </c>
      <c r="E948">
        <v>2815</v>
      </c>
    </row>
    <row r="949" spans="1:5" x14ac:dyDescent="0.35">
      <c r="A949" s="2">
        <v>44805</v>
      </c>
      <c r="B949" t="s">
        <v>57</v>
      </c>
      <c r="C949" t="s">
        <v>24</v>
      </c>
      <c r="D949">
        <v>4</v>
      </c>
      <c r="E949">
        <v>4432</v>
      </c>
    </row>
    <row r="950" spans="1:5" x14ac:dyDescent="0.35">
      <c r="A950" s="2">
        <v>44805</v>
      </c>
      <c r="B950" t="s">
        <v>75</v>
      </c>
      <c r="C950" t="s">
        <v>24</v>
      </c>
      <c r="D950">
        <v>31</v>
      </c>
      <c r="E950">
        <v>4183</v>
      </c>
    </row>
    <row r="951" spans="1:5" x14ac:dyDescent="0.35">
      <c r="A951" s="2">
        <v>44805</v>
      </c>
      <c r="B951" t="s">
        <v>79</v>
      </c>
      <c r="C951" t="s">
        <v>24</v>
      </c>
      <c r="D951">
        <v>493</v>
      </c>
      <c r="E951">
        <v>25136</v>
      </c>
    </row>
    <row r="952" spans="1:5" x14ac:dyDescent="0.35">
      <c r="A952" s="2">
        <v>44805</v>
      </c>
      <c r="B952" t="s">
        <v>80</v>
      </c>
      <c r="C952" t="s">
        <v>24</v>
      </c>
      <c r="D952">
        <v>397</v>
      </c>
      <c r="E952">
        <v>19551</v>
      </c>
    </row>
    <row r="953" spans="1:5" x14ac:dyDescent="0.35">
      <c r="A953" s="2">
        <v>44805</v>
      </c>
      <c r="B953" t="s">
        <v>68</v>
      </c>
      <c r="C953" t="s">
        <v>24</v>
      </c>
      <c r="D953">
        <v>61</v>
      </c>
      <c r="E953">
        <v>11080</v>
      </c>
    </row>
    <row r="954" spans="1:5" x14ac:dyDescent="0.35">
      <c r="A954" s="2">
        <v>44805</v>
      </c>
      <c r="B954" t="s">
        <v>81</v>
      </c>
      <c r="C954" t="s">
        <v>24</v>
      </c>
      <c r="D954">
        <v>939</v>
      </c>
      <c r="E954">
        <v>33643</v>
      </c>
    </row>
    <row r="955" spans="1:5" x14ac:dyDescent="0.35">
      <c r="A955" s="2">
        <v>44805</v>
      </c>
      <c r="B955" t="s">
        <v>60</v>
      </c>
      <c r="C955" t="s">
        <v>24</v>
      </c>
      <c r="D955">
        <v>2</v>
      </c>
      <c r="E955">
        <v>1047</v>
      </c>
    </row>
    <row r="956" spans="1:5" x14ac:dyDescent="0.35">
      <c r="A956" s="2">
        <v>44805</v>
      </c>
      <c r="B956" t="s">
        <v>69</v>
      </c>
      <c r="C956" t="s">
        <v>24</v>
      </c>
      <c r="D956">
        <v>40</v>
      </c>
      <c r="E956">
        <v>5941</v>
      </c>
    </row>
    <row r="957" spans="1:5" x14ac:dyDescent="0.35">
      <c r="A957" s="2">
        <v>44805</v>
      </c>
      <c r="B957" t="s">
        <v>63</v>
      </c>
      <c r="C957" t="s">
        <v>24</v>
      </c>
      <c r="D957">
        <v>2</v>
      </c>
      <c r="E957">
        <v>858</v>
      </c>
    </row>
    <row r="958" spans="1:5" x14ac:dyDescent="0.35">
      <c r="A958" s="2">
        <v>44805</v>
      </c>
      <c r="B958" t="s">
        <v>70</v>
      </c>
      <c r="C958" t="s">
        <v>24</v>
      </c>
      <c r="D958">
        <v>4</v>
      </c>
      <c r="E958">
        <v>8968</v>
      </c>
    </row>
    <row r="959" spans="1:5" x14ac:dyDescent="0.35">
      <c r="A959" s="2">
        <v>44805</v>
      </c>
      <c r="B959" t="s">
        <v>82</v>
      </c>
      <c r="C959" t="s">
        <v>24</v>
      </c>
      <c r="D959">
        <v>150</v>
      </c>
      <c r="E959">
        <v>12513</v>
      </c>
    </row>
    <row r="960" spans="1:5" x14ac:dyDescent="0.35">
      <c r="A960" s="2">
        <v>44805</v>
      </c>
      <c r="B960" t="s">
        <v>83</v>
      </c>
      <c r="C960" t="s">
        <v>24</v>
      </c>
      <c r="D960">
        <v>218</v>
      </c>
      <c r="E960">
        <v>21233</v>
      </c>
    </row>
    <row r="961" spans="1:5" x14ac:dyDescent="0.35">
      <c r="A961" s="2">
        <v>44805</v>
      </c>
      <c r="B961" t="s">
        <v>84</v>
      </c>
      <c r="C961" t="s">
        <v>24</v>
      </c>
      <c r="D961">
        <v>23</v>
      </c>
      <c r="E961">
        <v>22777</v>
      </c>
    </row>
    <row r="962" spans="1:5" x14ac:dyDescent="0.35">
      <c r="A962" s="2">
        <v>44805</v>
      </c>
      <c r="B962" t="s">
        <v>71</v>
      </c>
      <c r="C962" t="s">
        <v>24</v>
      </c>
      <c r="D962">
        <v>29</v>
      </c>
      <c r="E962">
        <v>3066</v>
      </c>
    </row>
    <row r="963" spans="1:5" x14ac:dyDescent="0.35">
      <c r="A963" s="2">
        <v>44805</v>
      </c>
      <c r="B963" t="s">
        <v>85</v>
      </c>
      <c r="C963" t="s">
        <v>24</v>
      </c>
      <c r="D963">
        <v>123</v>
      </c>
      <c r="E963">
        <v>11473</v>
      </c>
    </row>
    <row r="964" spans="1:5" x14ac:dyDescent="0.35">
      <c r="A964" s="2">
        <v>44835</v>
      </c>
      <c r="B964" t="s">
        <v>76</v>
      </c>
      <c r="C964" t="s">
        <v>24</v>
      </c>
      <c r="D964">
        <v>57</v>
      </c>
      <c r="E964">
        <v>8075</v>
      </c>
    </row>
    <row r="965" spans="1:5" x14ac:dyDescent="0.35">
      <c r="A965" s="2">
        <v>44835</v>
      </c>
      <c r="B965" t="s">
        <v>54</v>
      </c>
      <c r="C965" t="s">
        <v>24</v>
      </c>
      <c r="D965">
        <v>11</v>
      </c>
      <c r="E965">
        <v>7529</v>
      </c>
    </row>
    <row r="966" spans="1:5" x14ac:dyDescent="0.35">
      <c r="A966" s="2">
        <v>44835</v>
      </c>
      <c r="B966" t="s">
        <v>65</v>
      </c>
      <c r="C966" t="s">
        <v>24</v>
      </c>
      <c r="D966">
        <v>19</v>
      </c>
      <c r="E966">
        <v>7888</v>
      </c>
    </row>
    <row r="967" spans="1:5" x14ac:dyDescent="0.35">
      <c r="A967" s="2">
        <v>44835</v>
      </c>
      <c r="B967" t="s">
        <v>66</v>
      </c>
      <c r="C967" t="s">
        <v>24</v>
      </c>
      <c r="D967">
        <v>16</v>
      </c>
      <c r="E967">
        <v>2422</v>
      </c>
    </row>
    <row r="968" spans="1:5" x14ac:dyDescent="0.35">
      <c r="A968" s="2">
        <v>44835</v>
      </c>
      <c r="B968" t="s">
        <v>55</v>
      </c>
      <c r="C968" t="s">
        <v>24</v>
      </c>
      <c r="D968">
        <v>51</v>
      </c>
      <c r="E968">
        <v>7365</v>
      </c>
    </row>
    <row r="969" spans="1:5" x14ac:dyDescent="0.35">
      <c r="A969" s="2">
        <v>44835</v>
      </c>
      <c r="B969" t="s">
        <v>56</v>
      </c>
      <c r="C969" t="s">
        <v>24</v>
      </c>
      <c r="D969">
        <v>2</v>
      </c>
      <c r="E969">
        <v>432</v>
      </c>
    </row>
    <row r="970" spans="1:5" x14ac:dyDescent="0.35">
      <c r="A970" s="2">
        <v>44835</v>
      </c>
      <c r="B970" t="s">
        <v>67</v>
      </c>
      <c r="C970" t="s">
        <v>24</v>
      </c>
      <c r="D970">
        <v>633</v>
      </c>
      <c r="E970">
        <v>18613</v>
      </c>
    </row>
    <row r="971" spans="1:5" x14ac:dyDescent="0.35">
      <c r="A971" s="2">
        <v>44835</v>
      </c>
      <c r="B971" t="s">
        <v>77</v>
      </c>
      <c r="C971" t="s">
        <v>24</v>
      </c>
      <c r="D971">
        <v>40</v>
      </c>
      <c r="E971">
        <v>2230</v>
      </c>
    </row>
    <row r="972" spans="1:5" x14ac:dyDescent="0.35">
      <c r="A972" s="2">
        <v>44835</v>
      </c>
      <c r="B972" t="s">
        <v>78</v>
      </c>
      <c r="C972" t="s">
        <v>24</v>
      </c>
      <c r="D972">
        <v>189</v>
      </c>
      <c r="E972">
        <v>31456</v>
      </c>
    </row>
    <row r="973" spans="1:5" x14ac:dyDescent="0.35">
      <c r="A973" s="2">
        <v>44835</v>
      </c>
      <c r="B973" t="s">
        <v>74</v>
      </c>
      <c r="C973" t="s">
        <v>24</v>
      </c>
      <c r="D973">
        <v>39</v>
      </c>
      <c r="E973">
        <v>21475</v>
      </c>
    </row>
    <row r="974" spans="1:5" x14ac:dyDescent="0.35">
      <c r="A974" s="2">
        <v>44835</v>
      </c>
      <c r="B974" t="s">
        <v>72</v>
      </c>
      <c r="C974" t="s">
        <v>24</v>
      </c>
      <c r="D974">
        <v>2</v>
      </c>
      <c r="E974">
        <v>3447</v>
      </c>
    </row>
    <row r="975" spans="1:5" x14ac:dyDescent="0.35">
      <c r="A975" s="2">
        <v>44835</v>
      </c>
      <c r="B975" t="s">
        <v>57</v>
      </c>
      <c r="C975" t="s">
        <v>24</v>
      </c>
      <c r="D975">
        <v>8</v>
      </c>
      <c r="E975">
        <v>4556</v>
      </c>
    </row>
    <row r="976" spans="1:5" x14ac:dyDescent="0.35">
      <c r="A976" s="2">
        <v>44835</v>
      </c>
      <c r="B976" t="s">
        <v>75</v>
      </c>
      <c r="C976" t="s">
        <v>24</v>
      </c>
      <c r="D976">
        <v>22</v>
      </c>
      <c r="E976">
        <v>6208</v>
      </c>
    </row>
    <row r="977" spans="1:5" x14ac:dyDescent="0.35">
      <c r="A977" s="2">
        <v>44835</v>
      </c>
      <c r="B977" t="s">
        <v>79</v>
      </c>
      <c r="C977" t="s">
        <v>24</v>
      </c>
      <c r="D977">
        <v>563</v>
      </c>
      <c r="E977">
        <v>26091</v>
      </c>
    </row>
    <row r="978" spans="1:5" x14ac:dyDescent="0.35">
      <c r="A978" s="2">
        <v>44835</v>
      </c>
      <c r="B978" t="s">
        <v>80</v>
      </c>
      <c r="C978" t="s">
        <v>24</v>
      </c>
      <c r="D978">
        <v>419</v>
      </c>
      <c r="E978">
        <v>16857</v>
      </c>
    </row>
    <row r="979" spans="1:5" x14ac:dyDescent="0.35">
      <c r="A979" s="2">
        <v>44835</v>
      </c>
      <c r="B979" t="s">
        <v>68</v>
      </c>
      <c r="C979" t="s">
        <v>24</v>
      </c>
      <c r="D979">
        <v>63</v>
      </c>
      <c r="E979">
        <v>22052</v>
      </c>
    </row>
    <row r="980" spans="1:5" x14ac:dyDescent="0.35">
      <c r="A980" s="2">
        <v>44835</v>
      </c>
      <c r="B980" t="s">
        <v>81</v>
      </c>
      <c r="C980" t="s">
        <v>24</v>
      </c>
      <c r="D980">
        <v>1174</v>
      </c>
      <c r="E980">
        <v>51561</v>
      </c>
    </row>
    <row r="981" spans="1:5" x14ac:dyDescent="0.35">
      <c r="A981" s="2">
        <v>44835</v>
      </c>
      <c r="B981" t="s">
        <v>69</v>
      </c>
      <c r="C981" t="s">
        <v>24</v>
      </c>
      <c r="D981">
        <v>43</v>
      </c>
      <c r="E981">
        <v>6848</v>
      </c>
    </row>
    <row r="982" spans="1:5" x14ac:dyDescent="0.35">
      <c r="A982" s="2">
        <v>44835</v>
      </c>
      <c r="B982" t="s">
        <v>63</v>
      </c>
      <c r="C982" t="s">
        <v>24</v>
      </c>
      <c r="D982">
        <v>4</v>
      </c>
      <c r="E982">
        <v>754</v>
      </c>
    </row>
    <row r="983" spans="1:5" x14ac:dyDescent="0.35">
      <c r="A983" s="2">
        <v>44835</v>
      </c>
      <c r="B983" t="s">
        <v>70</v>
      </c>
      <c r="C983" t="s">
        <v>24</v>
      </c>
      <c r="D983">
        <v>3</v>
      </c>
      <c r="E983">
        <v>10552</v>
      </c>
    </row>
    <row r="984" spans="1:5" x14ac:dyDescent="0.35">
      <c r="A984" s="2">
        <v>44835</v>
      </c>
      <c r="B984" t="s">
        <v>82</v>
      </c>
      <c r="C984" t="s">
        <v>24</v>
      </c>
      <c r="D984">
        <v>204</v>
      </c>
      <c r="E984">
        <v>22678</v>
      </c>
    </row>
    <row r="985" spans="1:5" x14ac:dyDescent="0.35">
      <c r="A985" s="2">
        <v>44835</v>
      </c>
      <c r="B985" t="s">
        <v>83</v>
      </c>
      <c r="C985" t="s">
        <v>24</v>
      </c>
      <c r="D985">
        <v>184</v>
      </c>
      <c r="E985">
        <v>18425</v>
      </c>
    </row>
    <row r="986" spans="1:5" x14ac:dyDescent="0.35">
      <c r="A986" s="2">
        <v>44835</v>
      </c>
      <c r="B986" t="s">
        <v>84</v>
      </c>
      <c r="C986" t="s">
        <v>24</v>
      </c>
      <c r="D986">
        <v>21</v>
      </c>
      <c r="E986">
        <v>42577</v>
      </c>
    </row>
    <row r="987" spans="1:5" x14ac:dyDescent="0.35">
      <c r="A987" s="2">
        <v>44835</v>
      </c>
      <c r="B987" t="s">
        <v>71</v>
      </c>
      <c r="C987" t="s">
        <v>24</v>
      </c>
      <c r="D987">
        <v>50</v>
      </c>
      <c r="E987">
        <v>5163</v>
      </c>
    </row>
    <row r="988" spans="1:5" x14ac:dyDescent="0.35">
      <c r="A988" s="2">
        <v>44835</v>
      </c>
      <c r="B988" t="s">
        <v>85</v>
      </c>
      <c r="C988" t="s">
        <v>24</v>
      </c>
      <c r="D988">
        <v>94</v>
      </c>
      <c r="E988">
        <v>6483</v>
      </c>
    </row>
    <row r="989" spans="1:5" x14ac:dyDescent="0.35">
      <c r="A989" s="2">
        <v>44866</v>
      </c>
      <c r="B989" t="s">
        <v>76</v>
      </c>
      <c r="C989" t="s">
        <v>24</v>
      </c>
      <c r="D989">
        <v>95</v>
      </c>
      <c r="E989">
        <v>6272</v>
      </c>
    </row>
    <row r="990" spans="1:5" x14ac:dyDescent="0.35">
      <c r="A990" s="2">
        <v>44866</v>
      </c>
      <c r="B990" t="s">
        <v>54</v>
      </c>
      <c r="C990" t="s">
        <v>24</v>
      </c>
      <c r="D990">
        <v>10</v>
      </c>
      <c r="E990">
        <v>7676</v>
      </c>
    </row>
    <row r="991" spans="1:5" x14ac:dyDescent="0.35">
      <c r="A991" s="2">
        <v>44866</v>
      </c>
      <c r="B991" t="s">
        <v>65</v>
      </c>
      <c r="C991" t="s">
        <v>24</v>
      </c>
      <c r="D991">
        <v>6</v>
      </c>
      <c r="E991">
        <v>6295</v>
      </c>
    </row>
    <row r="992" spans="1:5" x14ac:dyDescent="0.35">
      <c r="A992" s="2">
        <v>44866</v>
      </c>
      <c r="B992" t="s">
        <v>66</v>
      </c>
      <c r="C992" t="s">
        <v>24</v>
      </c>
      <c r="D992">
        <v>61</v>
      </c>
      <c r="E992">
        <v>2279</v>
      </c>
    </row>
    <row r="993" spans="1:5" x14ac:dyDescent="0.35">
      <c r="A993" s="2">
        <v>44866</v>
      </c>
      <c r="B993" t="s">
        <v>55</v>
      </c>
      <c r="C993" t="s">
        <v>24</v>
      </c>
      <c r="D993">
        <v>33</v>
      </c>
      <c r="E993">
        <v>3846</v>
      </c>
    </row>
    <row r="994" spans="1:5" x14ac:dyDescent="0.35">
      <c r="A994" s="2">
        <v>44866</v>
      </c>
      <c r="B994" t="s">
        <v>56</v>
      </c>
      <c r="C994" t="s">
        <v>24</v>
      </c>
      <c r="D994">
        <v>2</v>
      </c>
      <c r="E994">
        <v>455</v>
      </c>
    </row>
    <row r="995" spans="1:5" x14ac:dyDescent="0.35">
      <c r="A995" s="2">
        <v>44866</v>
      </c>
      <c r="B995" t="s">
        <v>67</v>
      </c>
      <c r="C995" t="s">
        <v>24</v>
      </c>
      <c r="D995">
        <v>483</v>
      </c>
      <c r="E995">
        <v>15949</v>
      </c>
    </row>
    <row r="996" spans="1:5" x14ac:dyDescent="0.35">
      <c r="A996" s="2">
        <v>44866</v>
      </c>
      <c r="B996" t="s">
        <v>77</v>
      </c>
      <c r="C996" t="s">
        <v>24</v>
      </c>
      <c r="D996">
        <v>26</v>
      </c>
      <c r="E996">
        <v>1797</v>
      </c>
    </row>
    <row r="997" spans="1:5" x14ac:dyDescent="0.35">
      <c r="A997" s="2">
        <v>44866</v>
      </c>
      <c r="B997" t="s">
        <v>78</v>
      </c>
      <c r="C997" t="s">
        <v>24</v>
      </c>
      <c r="D997">
        <v>374</v>
      </c>
      <c r="E997">
        <v>36212</v>
      </c>
    </row>
    <row r="998" spans="1:5" x14ac:dyDescent="0.35">
      <c r="A998" s="2">
        <v>44866</v>
      </c>
      <c r="B998" t="s">
        <v>74</v>
      </c>
      <c r="C998" t="s">
        <v>24</v>
      </c>
      <c r="D998">
        <v>133</v>
      </c>
      <c r="E998">
        <v>21202</v>
      </c>
    </row>
    <row r="999" spans="1:5" x14ac:dyDescent="0.35">
      <c r="A999" s="2">
        <v>44866</v>
      </c>
      <c r="B999" t="s">
        <v>72</v>
      </c>
      <c r="C999" t="s">
        <v>24</v>
      </c>
      <c r="D999">
        <v>2</v>
      </c>
      <c r="E999">
        <v>5135</v>
      </c>
    </row>
    <row r="1000" spans="1:5" x14ac:dyDescent="0.35">
      <c r="A1000" s="2">
        <v>44866</v>
      </c>
      <c r="B1000" t="s">
        <v>75</v>
      </c>
      <c r="C1000" t="s">
        <v>24</v>
      </c>
      <c r="D1000">
        <v>15</v>
      </c>
      <c r="E1000">
        <v>4657</v>
      </c>
    </row>
    <row r="1001" spans="1:5" x14ac:dyDescent="0.35">
      <c r="A1001" s="2">
        <v>44866</v>
      </c>
      <c r="B1001" t="s">
        <v>79</v>
      </c>
      <c r="C1001" t="s">
        <v>24</v>
      </c>
      <c r="D1001">
        <v>564</v>
      </c>
      <c r="E1001">
        <v>23618</v>
      </c>
    </row>
    <row r="1002" spans="1:5" x14ac:dyDescent="0.35">
      <c r="A1002" s="2">
        <v>44866</v>
      </c>
      <c r="B1002" t="s">
        <v>80</v>
      </c>
      <c r="C1002" t="s">
        <v>24</v>
      </c>
      <c r="D1002">
        <v>325</v>
      </c>
      <c r="E1002">
        <v>15267</v>
      </c>
    </row>
    <row r="1003" spans="1:5" x14ac:dyDescent="0.35">
      <c r="A1003" s="2">
        <v>44866</v>
      </c>
      <c r="B1003" t="s">
        <v>68</v>
      </c>
      <c r="C1003" t="s">
        <v>24</v>
      </c>
      <c r="D1003">
        <v>54</v>
      </c>
      <c r="E1003">
        <v>10575</v>
      </c>
    </row>
    <row r="1004" spans="1:5" x14ac:dyDescent="0.35">
      <c r="A1004" s="2">
        <v>44866</v>
      </c>
      <c r="B1004" t="s">
        <v>81</v>
      </c>
      <c r="C1004" t="s">
        <v>24</v>
      </c>
      <c r="D1004">
        <v>1144</v>
      </c>
      <c r="E1004">
        <v>35215</v>
      </c>
    </row>
    <row r="1005" spans="1:5" x14ac:dyDescent="0.35">
      <c r="A1005" s="2">
        <v>44866</v>
      </c>
      <c r="B1005" t="s">
        <v>69</v>
      </c>
      <c r="C1005" t="s">
        <v>24</v>
      </c>
      <c r="D1005">
        <v>53</v>
      </c>
      <c r="E1005">
        <v>5833</v>
      </c>
    </row>
    <row r="1006" spans="1:5" x14ac:dyDescent="0.35">
      <c r="A1006" s="2">
        <v>44866</v>
      </c>
      <c r="B1006" t="s">
        <v>63</v>
      </c>
      <c r="C1006" t="s">
        <v>24</v>
      </c>
      <c r="D1006">
        <v>9</v>
      </c>
      <c r="E1006">
        <v>782</v>
      </c>
    </row>
    <row r="1007" spans="1:5" x14ac:dyDescent="0.35">
      <c r="A1007" s="2">
        <v>44866</v>
      </c>
      <c r="B1007" t="s">
        <v>82</v>
      </c>
      <c r="C1007" t="s">
        <v>24</v>
      </c>
      <c r="D1007">
        <v>113</v>
      </c>
      <c r="E1007">
        <v>15252</v>
      </c>
    </row>
    <row r="1008" spans="1:5" x14ac:dyDescent="0.35">
      <c r="A1008" s="2">
        <v>44866</v>
      </c>
      <c r="B1008" t="s">
        <v>83</v>
      </c>
      <c r="C1008" t="s">
        <v>24</v>
      </c>
      <c r="D1008">
        <v>311</v>
      </c>
      <c r="E1008">
        <v>20180</v>
      </c>
    </row>
    <row r="1009" spans="1:5" x14ac:dyDescent="0.35">
      <c r="A1009" s="2">
        <v>44866</v>
      </c>
      <c r="B1009" t="s">
        <v>84</v>
      </c>
      <c r="C1009" t="s">
        <v>24</v>
      </c>
      <c r="D1009">
        <v>11</v>
      </c>
      <c r="E1009">
        <v>31886</v>
      </c>
    </row>
    <row r="1010" spans="1:5" x14ac:dyDescent="0.35">
      <c r="A1010" s="2">
        <v>44866</v>
      </c>
      <c r="B1010" t="s">
        <v>71</v>
      </c>
      <c r="C1010" t="s">
        <v>24</v>
      </c>
      <c r="D1010">
        <v>31</v>
      </c>
      <c r="E1010">
        <v>5199</v>
      </c>
    </row>
    <row r="1011" spans="1:5" x14ac:dyDescent="0.35">
      <c r="A1011" s="2">
        <v>44866</v>
      </c>
      <c r="B1011" t="s">
        <v>85</v>
      </c>
      <c r="C1011" t="s">
        <v>24</v>
      </c>
      <c r="D1011">
        <v>121</v>
      </c>
      <c r="E1011">
        <v>10465</v>
      </c>
    </row>
    <row r="1012" spans="1:5" x14ac:dyDescent="0.35">
      <c r="A1012" s="2">
        <v>44896</v>
      </c>
      <c r="B1012" t="s">
        <v>52</v>
      </c>
      <c r="C1012" t="s">
        <v>24</v>
      </c>
      <c r="D1012">
        <v>3</v>
      </c>
      <c r="E1012">
        <v>229</v>
      </c>
    </row>
    <row r="1013" spans="1:5" x14ac:dyDescent="0.35">
      <c r="A1013" s="2">
        <v>44896</v>
      </c>
      <c r="B1013" t="s">
        <v>76</v>
      </c>
      <c r="C1013" t="s">
        <v>24</v>
      </c>
      <c r="D1013">
        <v>120</v>
      </c>
      <c r="E1013">
        <v>6769</v>
      </c>
    </row>
    <row r="1014" spans="1:5" x14ac:dyDescent="0.35">
      <c r="A1014" s="2">
        <v>44896</v>
      </c>
      <c r="B1014" t="s">
        <v>54</v>
      </c>
      <c r="C1014" t="s">
        <v>24</v>
      </c>
      <c r="D1014">
        <v>4</v>
      </c>
      <c r="E1014">
        <v>8441</v>
      </c>
    </row>
    <row r="1015" spans="1:5" x14ac:dyDescent="0.35">
      <c r="A1015" s="2">
        <v>44896</v>
      </c>
      <c r="B1015" t="s">
        <v>65</v>
      </c>
      <c r="C1015" t="s">
        <v>24</v>
      </c>
      <c r="D1015">
        <v>5</v>
      </c>
      <c r="E1015">
        <v>4752</v>
      </c>
    </row>
    <row r="1016" spans="1:5" x14ac:dyDescent="0.35">
      <c r="A1016" s="2">
        <v>44896</v>
      </c>
      <c r="B1016" t="s">
        <v>66</v>
      </c>
      <c r="C1016" t="s">
        <v>24</v>
      </c>
      <c r="D1016">
        <v>46</v>
      </c>
      <c r="E1016">
        <v>2261</v>
      </c>
    </row>
    <row r="1017" spans="1:5" x14ac:dyDescent="0.35">
      <c r="A1017" s="2">
        <v>44896</v>
      </c>
      <c r="B1017" t="s">
        <v>55</v>
      </c>
      <c r="C1017" t="s">
        <v>24</v>
      </c>
      <c r="D1017">
        <v>40</v>
      </c>
      <c r="E1017">
        <v>3887</v>
      </c>
    </row>
    <row r="1018" spans="1:5" x14ac:dyDescent="0.35">
      <c r="A1018" s="2">
        <v>44896</v>
      </c>
      <c r="B1018" t="s">
        <v>56</v>
      </c>
      <c r="C1018" t="s">
        <v>24</v>
      </c>
      <c r="D1018">
        <v>2</v>
      </c>
      <c r="E1018">
        <v>365</v>
      </c>
    </row>
    <row r="1019" spans="1:5" x14ac:dyDescent="0.35">
      <c r="A1019" s="2">
        <v>44896</v>
      </c>
      <c r="B1019" t="s">
        <v>67</v>
      </c>
      <c r="C1019" t="s">
        <v>24</v>
      </c>
      <c r="D1019">
        <v>791</v>
      </c>
      <c r="E1019">
        <v>15492</v>
      </c>
    </row>
    <row r="1020" spans="1:5" x14ac:dyDescent="0.35">
      <c r="A1020" s="2">
        <v>44896</v>
      </c>
      <c r="B1020" t="s">
        <v>77</v>
      </c>
      <c r="C1020" t="s">
        <v>24</v>
      </c>
      <c r="D1020">
        <v>30</v>
      </c>
      <c r="E1020">
        <v>1744</v>
      </c>
    </row>
    <row r="1021" spans="1:5" x14ac:dyDescent="0.35">
      <c r="A1021" s="2">
        <v>44896</v>
      </c>
      <c r="B1021" t="s">
        <v>78</v>
      </c>
      <c r="C1021" t="s">
        <v>24</v>
      </c>
      <c r="D1021">
        <v>260</v>
      </c>
      <c r="E1021">
        <v>27614</v>
      </c>
    </row>
    <row r="1022" spans="1:5" x14ac:dyDescent="0.35">
      <c r="A1022" s="2">
        <v>44896</v>
      </c>
      <c r="B1022" t="s">
        <v>74</v>
      </c>
      <c r="C1022" t="s">
        <v>24</v>
      </c>
      <c r="D1022">
        <v>177</v>
      </c>
      <c r="E1022">
        <v>18223</v>
      </c>
    </row>
    <row r="1023" spans="1:5" x14ac:dyDescent="0.35">
      <c r="A1023" s="2">
        <v>44896</v>
      </c>
      <c r="B1023" t="s">
        <v>72</v>
      </c>
      <c r="C1023" t="s">
        <v>24</v>
      </c>
      <c r="D1023">
        <v>7</v>
      </c>
      <c r="E1023">
        <v>4026</v>
      </c>
    </row>
    <row r="1024" spans="1:5" x14ac:dyDescent="0.35">
      <c r="A1024" s="2">
        <v>44896</v>
      </c>
      <c r="B1024" t="s">
        <v>57</v>
      </c>
      <c r="C1024" t="s">
        <v>24</v>
      </c>
      <c r="D1024">
        <v>4</v>
      </c>
      <c r="E1024">
        <v>5304</v>
      </c>
    </row>
    <row r="1025" spans="1:5" x14ac:dyDescent="0.35">
      <c r="A1025" s="2">
        <v>44896</v>
      </c>
      <c r="B1025" t="s">
        <v>75</v>
      </c>
      <c r="C1025" t="s">
        <v>24</v>
      </c>
      <c r="D1025">
        <v>22</v>
      </c>
      <c r="E1025">
        <v>3979</v>
      </c>
    </row>
    <row r="1026" spans="1:5" x14ac:dyDescent="0.35">
      <c r="A1026" s="2">
        <v>44896</v>
      </c>
      <c r="B1026" t="s">
        <v>79</v>
      </c>
      <c r="C1026" t="s">
        <v>24</v>
      </c>
      <c r="D1026">
        <v>438</v>
      </c>
      <c r="E1026">
        <v>22142</v>
      </c>
    </row>
    <row r="1027" spans="1:5" x14ac:dyDescent="0.35">
      <c r="A1027" s="2">
        <v>44896</v>
      </c>
      <c r="B1027" t="s">
        <v>80</v>
      </c>
      <c r="C1027" t="s">
        <v>24</v>
      </c>
      <c r="D1027">
        <v>298</v>
      </c>
      <c r="E1027">
        <v>16601</v>
      </c>
    </row>
    <row r="1028" spans="1:5" x14ac:dyDescent="0.35">
      <c r="A1028" s="2">
        <v>44896</v>
      </c>
      <c r="B1028" t="s">
        <v>68</v>
      </c>
      <c r="C1028" t="s">
        <v>24</v>
      </c>
      <c r="D1028">
        <v>35</v>
      </c>
      <c r="E1028">
        <v>11124</v>
      </c>
    </row>
    <row r="1029" spans="1:5" x14ac:dyDescent="0.35">
      <c r="A1029" s="2">
        <v>44896</v>
      </c>
      <c r="B1029" t="s">
        <v>81</v>
      </c>
      <c r="C1029" t="s">
        <v>24</v>
      </c>
      <c r="D1029">
        <v>887</v>
      </c>
      <c r="E1029">
        <v>32422</v>
      </c>
    </row>
    <row r="1030" spans="1:5" x14ac:dyDescent="0.35">
      <c r="A1030" s="2">
        <v>44896</v>
      </c>
      <c r="B1030" t="s">
        <v>69</v>
      </c>
      <c r="C1030" t="s">
        <v>24</v>
      </c>
      <c r="D1030">
        <v>42</v>
      </c>
      <c r="E1030">
        <v>6616</v>
      </c>
    </row>
    <row r="1031" spans="1:5" x14ac:dyDescent="0.35">
      <c r="A1031" s="2">
        <v>44896</v>
      </c>
      <c r="B1031" t="s">
        <v>63</v>
      </c>
      <c r="C1031" t="s">
        <v>24</v>
      </c>
      <c r="D1031">
        <v>4</v>
      </c>
      <c r="E1031">
        <v>690</v>
      </c>
    </row>
    <row r="1032" spans="1:5" x14ac:dyDescent="0.35">
      <c r="A1032" s="2">
        <v>44896</v>
      </c>
      <c r="B1032" t="s">
        <v>82</v>
      </c>
      <c r="C1032" t="s">
        <v>24</v>
      </c>
      <c r="D1032">
        <v>110</v>
      </c>
      <c r="E1032">
        <v>12634</v>
      </c>
    </row>
    <row r="1033" spans="1:5" x14ac:dyDescent="0.35">
      <c r="A1033" s="2">
        <v>44896</v>
      </c>
      <c r="B1033" t="s">
        <v>83</v>
      </c>
      <c r="C1033" t="s">
        <v>24</v>
      </c>
      <c r="D1033">
        <v>406</v>
      </c>
      <c r="E1033">
        <v>20201</v>
      </c>
    </row>
    <row r="1034" spans="1:5" x14ac:dyDescent="0.35">
      <c r="A1034" s="2">
        <v>44896</v>
      </c>
      <c r="B1034" t="s">
        <v>84</v>
      </c>
      <c r="C1034" t="s">
        <v>24</v>
      </c>
      <c r="D1034">
        <v>13</v>
      </c>
      <c r="E1034">
        <v>27230</v>
      </c>
    </row>
    <row r="1035" spans="1:5" x14ac:dyDescent="0.35">
      <c r="A1035" s="2">
        <v>44896</v>
      </c>
      <c r="B1035" t="s">
        <v>71</v>
      </c>
      <c r="C1035" t="s">
        <v>24</v>
      </c>
      <c r="D1035">
        <v>24</v>
      </c>
      <c r="E1035">
        <v>3881</v>
      </c>
    </row>
    <row r="1036" spans="1:5" x14ac:dyDescent="0.35">
      <c r="A1036" s="2">
        <v>44896</v>
      </c>
      <c r="B1036" t="s">
        <v>85</v>
      </c>
      <c r="C1036" t="s">
        <v>24</v>
      </c>
      <c r="D1036">
        <v>65</v>
      </c>
      <c r="E1036">
        <v>8047</v>
      </c>
    </row>
    <row r="1037" spans="1:5" x14ac:dyDescent="0.35">
      <c r="A1037" s="2">
        <v>44927</v>
      </c>
      <c r="B1037" t="s">
        <v>76</v>
      </c>
      <c r="C1037" t="s">
        <v>24</v>
      </c>
      <c r="D1037">
        <v>121</v>
      </c>
      <c r="E1037">
        <v>10775</v>
      </c>
    </row>
    <row r="1038" spans="1:5" x14ac:dyDescent="0.35">
      <c r="A1038" s="2">
        <v>44927</v>
      </c>
      <c r="B1038" t="s">
        <v>54</v>
      </c>
      <c r="C1038" t="s">
        <v>24</v>
      </c>
      <c r="D1038">
        <v>5</v>
      </c>
      <c r="E1038">
        <v>7240</v>
      </c>
    </row>
    <row r="1039" spans="1:5" x14ac:dyDescent="0.35">
      <c r="A1039" s="2">
        <v>44927</v>
      </c>
      <c r="B1039" t="s">
        <v>65</v>
      </c>
      <c r="C1039" t="s">
        <v>24</v>
      </c>
      <c r="D1039">
        <v>19</v>
      </c>
      <c r="E1039">
        <v>6600</v>
      </c>
    </row>
    <row r="1040" spans="1:5" x14ac:dyDescent="0.35">
      <c r="A1040" s="2">
        <v>44927</v>
      </c>
      <c r="B1040" t="s">
        <v>66</v>
      </c>
      <c r="C1040" t="s">
        <v>24</v>
      </c>
      <c r="D1040">
        <v>50</v>
      </c>
      <c r="E1040">
        <v>2500</v>
      </c>
    </row>
    <row r="1041" spans="1:5" x14ac:dyDescent="0.35">
      <c r="A1041" s="2">
        <v>44927</v>
      </c>
      <c r="B1041" t="s">
        <v>55</v>
      </c>
      <c r="C1041" t="s">
        <v>24</v>
      </c>
      <c r="D1041">
        <v>56</v>
      </c>
      <c r="E1041">
        <v>4880</v>
      </c>
    </row>
    <row r="1042" spans="1:5" x14ac:dyDescent="0.35">
      <c r="A1042" s="2">
        <v>44927</v>
      </c>
      <c r="B1042" t="s">
        <v>67</v>
      </c>
      <c r="C1042" t="s">
        <v>24</v>
      </c>
      <c r="D1042">
        <v>331</v>
      </c>
      <c r="E1042">
        <v>17993</v>
      </c>
    </row>
    <row r="1043" spans="1:5" x14ac:dyDescent="0.35">
      <c r="A1043" s="2">
        <v>44927</v>
      </c>
      <c r="B1043" t="s">
        <v>77</v>
      </c>
      <c r="C1043" t="s">
        <v>24</v>
      </c>
      <c r="D1043">
        <v>44</v>
      </c>
      <c r="E1043">
        <v>1888</v>
      </c>
    </row>
    <row r="1044" spans="1:5" x14ac:dyDescent="0.35">
      <c r="A1044" s="2">
        <v>44927</v>
      </c>
      <c r="B1044" t="s">
        <v>78</v>
      </c>
      <c r="C1044" t="s">
        <v>24</v>
      </c>
      <c r="D1044">
        <v>212</v>
      </c>
      <c r="E1044">
        <v>25859</v>
      </c>
    </row>
    <row r="1045" spans="1:5" x14ac:dyDescent="0.35">
      <c r="A1045" s="2">
        <v>44927</v>
      </c>
      <c r="B1045" t="s">
        <v>74</v>
      </c>
      <c r="C1045" t="s">
        <v>24</v>
      </c>
      <c r="D1045">
        <v>141</v>
      </c>
      <c r="E1045">
        <v>25164</v>
      </c>
    </row>
    <row r="1046" spans="1:5" x14ac:dyDescent="0.35">
      <c r="A1046" s="2">
        <v>44927</v>
      </c>
      <c r="B1046" t="s">
        <v>72</v>
      </c>
      <c r="C1046" t="s">
        <v>24</v>
      </c>
      <c r="D1046">
        <v>5</v>
      </c>
      <c r="E1046">
        <v>4192</v>
      </c>
    </row>
    <row r="1047" spans="1:5" x14ac:dyDescent="0.35">
      <c r="A1047" s="2">
        <v>44927</v>
      </c>
      <c r="B1047" t="s">
        <v>57</v>
      </c>
      <c r="C1047" t="s">
        <v>24</v>
      </c>
      <c r="D1047">
        <v>4</v>
      </c>
      <c r="E1047">
        <v>4245</v>
      </c>
    </row>
    <row r="1048" spans="1:5" x14ac:dyDescent="0.35">
      <c r="A1048" s="2">
        <v>44927</v>
      </c>
      <c r="B1048" t="s">
        <v>75</v>
      </c>
      <c r="C1048" t="s">
        <v>24</v>
      </c>
      <c r="D1048">
        <v>41</v>
      </c>
      <c r="E1048">
        <v>5016</v>
      </c>
    </row>
    <row r="1049" spans="1:5" x14ac:dyDescent="0.35">
      <c r="A1049" s="2">
        <v>44927</v>
      </c>
      <c r="B1049" t="s">
        <v>79</v>
      </c>
      <c r="C1049" t="s">
        <v>24</v>
      </c>
      <c r="D1049">
        <v>587</v>
      </c>
      <c r="E1049">
        <v>26011</v>
      </c>
    </row>
    <row r="1050" spans="1:5" x14ac:dyDescent="0.35">
      <c r="A1050" s="2">
        <v>44927</v>
      </c>
      <c r="B1050" t="s">
        <v>80</v>
      </c>
      <c r="C1050" t="s">
        <v>24</v>
      </c>
      <c r="D1050">
        <v>344</v>
      </c>
      <c r="E1050">
        <v>17267</v>
      </c>
    </row>
    <row r="1051" spans="1:5" x14ac:dyDescent="0.35">
      <c r="A1051" s="2">
        <v>44927</v>
      </c>
      <c r="B1051" t="s">
        <v>68</v>
      </c>
      <c r="C1051" t="s">
        <v>24</v>
      </c>
      <c r="D1051">
        <v>69</v>
      </c>
      <c r="E1051">
        <v>17945</v>
      </c>
    </row>
    <row r="1052" spans="1:5" x14ac:dyDescent="0.35">
      <c r="A1052" s="2">
        <v>44927</v>
      </c>
      <c r="B1052" t="s">
        <v>81</v>
      </c>
      <c r="C1052" t="s">
        <v>24</v>
      </c>
      <c r="D1052">
        <v>827</v>
      </c>
      <c r="E1052">
        <v>44349</v>
      </c>
    </row>
    <row r="1053" spans="1:5" x14ac:dyDescent="0.35">
      <c r="A1053" s="2">
        <v>44927</v>
      </c>
      <c r="B1053" t="s">
        <v>59</v>
      </c>
      <c r="C1053" t="s">
        <v>24</v>
      </c>
      <c r="D1053">
        <v>3</v>
      </c>
      <c r="E1053">
        <v>892</v>
      </c>
    </row>
    <row r="1054" spans="1:5" x14ac:dyDescent="0.35">
      <c r="A1054" s="2">
        <v>44927</v>
      </c>
      <c r="B1054" t="s">
        <v>69</v>
      </c>
      <c r="C1054" t="s">
        <v>24</v>
      </c>
      <c r="D1054">
        <v>51</v>
      </c>
      <c r="E1054">
        <v>6278</v>
      </c>
    </row>
    <row r="1055" spans="1:5" x14ac:dyDescent="0.35">
      <c r="A1055" s="2">
        <v>44927</v>
      </c>
      <c r="B1055" t="s">
        <v>63</v>
      </c>
      <c r="C1055" t="s">
        <v>24</v>
      </c>
      <c r="D1055">
        <v>3</v>
      </c>
      <c r="E1055">
        <v>1004</v>
      </c>
    </row>
    <row r="1056" spans="1:5" x14ac:dyDescent="0.35">
      <c r="A1056" s="2">
        <v>44927</v>
      </c>
      <c r="B1056" t="s">
        <v>82</v>
      </c>
      <c r="C1056" t="s">
        <v>24</v>
      </c>
      <c r="D1056">
        <v>155</v>
      </c>
      <c r="E1056">
        <v>18017</v>
      </c>
    </row>
    <row r="1057" spans="1:5" x14ac:dyDescent="0.35">
      <c r="A1057" s="2">
        <v>44927</v>
      </c>
      <c r="B1057" t="s">
        <v>83</v>
      </c>
      <c r="C1057" t="s">
        <v>24</v>
      </c>
      <c r="D1057">
        <v>202</v>
      </c>
      <c r="E1057">
        <v>24430</v>
      </c>
    </row>
    <row r="1058" spans="1:5" x14ac:dyDescent="0.35">
      <c r="A1058" s="2">
        <v>44927</v>
      </c>
      <c r="B1058" t="s">
        <v>84</v>
      </c>
      <c r="C1058" t="s">
        <v>24</v>
      </c>
      <c r="D1058">
        <v>26</v>
      </c>
      <c r="E1058">
        <v>41439</v>
      </c>
    </row>
    <row r="1059" spans="1:5" x14ac:dyDescent="0.35">
      <c r="A1059" s="2">
        <v>44927</v>
      </c>
      <c r="B1059" t="s">
        <v>71</v>
      </c>
      <c r="C1059" t="s">
        <v>24</v>
      </c>
      <c r="D1059">
        <v>16</v>
      </c>
      <c r="E1059">
        <v>5040</v>
      </c>
    </row>
    <row r="1060" spans="1:5" x14ac:dyDescent="0.35">
      <c r="A1060" s="2">
        <v>44927</v>
      </c>
      <c r="B1060" t="s">
        <v>85</v>
      </c>
      <c r="C1060" t="s">
        <v>24</v>
      </c>
      <c r="D1060">
        <v>124</v>
      </c>
      <c r="E1060">
        <v>9141</v>
      </c>
    </row>
    <row r="1061" spans="1:5" x14ac:dyDescent="0.35">
      <c r="A1061" s="2">
        <v>44958</v>
      </c>
      <c r="B1061" t="s">
        <v>76</v>
      </c>
      <c r="C1061" t="s">
        <v>24</v>
      </c>
      <c r="D1061">
        <v>116</v>
      </c>
      <c r="E1061">
        <v>6628</v>
      </c>
    </row>
    <row r="1062" spans="1:5" x14ac:dyDescent="0.35">
      <c r="A1062" s="2">
        <v>44958</v>
      </c>
      <c r="B1062" t="s">
        <v>54</v>
      </c>
      <c r="C1062" t="s">
        <v>24</v>
      </c>
      <c r="D1062">
        <v>13</v>
      </c>
      <c r="E1062">
        <v>7029</v>
      </c>
    </row>
    <row r="1063" spans="1:5" x14ac:dyDescent="0.35">
      <c r="A1063" s="2">
        <v>44958</v>
      </c>
      <c r="B1063" t="s">
        <v>65</v>
      </c>
      <c r="C1063" t="s">
        <v>24</v>
      </c>
      <c r="D1063">
        <v>46</v>
      </c>
      <c r="E1063">
        <v>6117</v>
      </c>
    </row>
    <row r="1064" spans="1:5" x14ac:dyDescent="0.35">
      <c r="A1064" s="2">
        <v>44958</v>
      </c>
      <c r="B1064" t="s">
        <v>66</v>
      </c>
      <c r="C1064" t="s">
        <v>24</v>
      </c>
      <c r="D1064">
        <v>59</v>
      </c>
      <c r="E1064">
        <v>2061</v>
      </c>
    </row>
    <row r="1065" spans="1:5" x14ac:dyDescent="0.35">
      <c r="A1065" s="2">
        <v>44958</v>
      </c>
      <c r="B1065" t="s">
        <v>55</v>
      </c>
      <c r="C1065" t="s">
        <v>24</v>
      </c>
      <c r="D1065">
        <v>73</v>
      </c>
      <c r="E1065">
        <v>4196</v>
      </c>
    </row>
    <row r="1066" spans="1:5" x14ac:dyDescent="0.35">
      <c r="A1066" s="2">
        <v>44958</v>
      </c>
      <c r="B1066" t="s">
        <v>56</v>
      </c>
      <c r="C1066" t="s">
        <v>24</v>
      </c>
      <c r="D1066">
        <v>3</v>
      </c>
      <c r="E1066">
        <v>411</v>
      </c>
    </row>
    <row r="1067" spans="1:5" x14ac:dyDescent="0.35">
      <c r="A1067" s="2">
        <v>44958</v>
      </c>
      <c r="B1067" t="s">
        <v>67</v>
      </c>
      <c r="C1067" t="s">
        <v>24</v>
      </c>
      <c r="D1067">
        <v>510</v>
      </c>
      <c r="E1067">
        <v>14823</v>
      </c>
    </row>
    <row r="1068" spans="1:5" x14ac:dyDescent="0.35">
      <c r="A1068" s="2">
        <v>44958</v>
      </c>
      <c r="B1068" t="s">
        <v>77</v>
      </c>
      <c r="C1068" t="s">
        <v>24</v>
      </c>
      <c r="D1068">
        <v>83</v>
      </c>
      <c r="E1068">
        <v>1760</v>
      </c>
    </row>
    <row r="1069" spans="1:5" x14ac:dyDescent="0.35">
      <c r="A1069" s="2">
        <v>44958</v>
      </c>
      <c r="B1069" t="s">
        <v>78</v>
      </c>
      <c r="C1069" t="s">
        <v>24</v>
      </c>
      <c r="D1069">
        <v>271</v>
      </c>
      <c r="E1069">
        <v>28856</v>
      </c>
    </row>
    <row r="1070" spans="1:5" x14ac:dyDescent="0.35">
      <c r="A1070" s="2">
        <v>44958</v>
      </c>
      <c r="B1070" t="s">
        <v>74</v>
      </c>
      <c r="C1070" t="s">
        <v>24</v>
      </c>
      <c r="D1070">
        <v>175</v>
      </c>
      <c r="E1070">
        <v>19656</v>
      </c>
    </row>
    <row r="1071" spans="1:5" x14ac:dyDescent="0.35">
      <c r="A1071" s="2">
        <v>44958</v>
      </c>
      <c r="B1071" t="s">
        <v>72</v>
      </c>
      <c r="C1071" t="s">
        <v>24</v>
      </c>
      <c r="D1071">
        <v>21</v>
      </c>
      <c r="E1071">
        <v>3952</v>
      </c>
    </row>
    <row r="1072" spans="1:5" x14ac:dyDescent="0.35">
      <c r="A1072" s="2">
        <v>44958</v>
      </c>
      <c r="B1072" t="s">
        <v>57</v>
      </c>
      <c r="C1072" t="s">
        <v>24</v>
      </c>
      <c r="D1072">
        <v>8</v>
      </c>
      <c r="E1072">
        <v>4449</v>
      </c>
    </row>
    <row r="1073" spans="1:5" x14ac:dyDescent="0.35">
      <c r="A1073" s="2">
        <v>44958</v>
      </c>
      <c r="B1073" t="s">
        <v>75</v>
      </c>
      <c r="C1073" t="s">
        <v>24</v>
      </c>
      <c r="D1073">
        <v>33</v>
      </c>
      <c r="E1073">
        <v>4234</v>
      </c>
    </row>
    <row r="1074" spans="1:5" x14ac:dyDescent="0.35">
      <c r="A1074" s="2">
        <v>44958</v>
      </c>
      <c r="B1074" t="s">
        <v>79</v>
      </c>
      <c r="C1074" t="s">
        <v>24</v>
      </c>
      <c r="D1074">
        <v>616</v>
      </c>
      <c r="E1074">
        <v>21837</v>
      </c>
    </row>
    <row r="1075" spans="1:5" x14ac:dyDescent="0.35">
      <c r="A1075" s="2">
        <v>44958</v>
      </c>
      <c r="B1075" t="s">
        <v>80</v>
      </c>
      <c r="C1075" t="s">
        <v>24</v>
      </c>
      <c r="D1075">
        <v>662</v>
      </c>
      <c r="E1075">
        <v>14603</v>
      </c>
    </row>
    <row r="1076" spans="1:5" x14ac:dyDescent="0.35">
      <c r="A1076" s="2">
        <v>44958</v>
      </c>
      <c r="B1076" t="s">
        <v>68</v>
      </c>
      <c r="C1076" t="s">
        <v>24</v>
      </c>
      <c r="D1076">
        <v>144</v>
      </c>
      <c r="E1076">
        <v>17295</v>
      </c>
    </row>
    <row r="1077" spans="1:5" x14ac:dyDescent="0.35">
      <c r="A1077" s="2">
        <v>44958</v>
      </c>
      <c r="B1077" t="s">
        <v>81</v>
      </c>
      <c r="C1077" t="s">
        <v>24</v>
      </c>
      <c r="D1077">
        <v>1012</v>
      </c>
      <c r="E1077">
        <v>30727</v>
      </c>
    </row>
    <row r="1078" spans="1:5" x14ac:dyDescent="0.35">
      <c r="A1078" s="2">
        <v>44958</v>
      </c>
      <c r="B1078" t="s">
        <v>59</v>
      </c>
      <c r="C1078" t="s">
        <v>24</v>
      </c>
      <c r="D1078">
        <v>5</v>
      </c>
      <c r="E1078">
        <v>756</v>
      </c>
    </row>
    <row r="1079" spans="1:5" x14ac:dyDescent="0.35">
      <c r="A1079" s="2">
        <v>44958</v>
      </c>
      <c r="B1079" t="s">
        <v>69</v>
      </c>
      <c r="C1079" t="s">
        <v>24</v>
      </c>
      <c r="D1079">
        <v>60</v>
      </c>
      <c r="E1079">
        <v>5397</v>
      </c>
    </row>
    <row r="1080" spans="1:5" x14ac:dyDescent="0.35">
      <c r="A1080" s="2">
        <v>44958</v>
      </c>
      <c r="B1080" t="s">
        <v>63</v>
      </c>
      <c r="C1080" t="s">
        <v>24</v>
      </c>
      <c r="D1080">
        <v>3</v>
      </c>
      <c r="E1080">
        <v>703</v>
      </c>
    </row>
    <row r="1081" spans="1:5" x14ac:dyDescent="0.35">
      <c r="A1081" s="2">
        <v>44958</v>
      </c>
      <c r="B1081" t="s">
        <v>70</v>
      </c>
      <c r="C1081" t="s">
        <v>24</v>
      </c>
      <c r="D1081">
        <v>18</v>
      </c>
      <c r="E1081">
        <v>11765</v>
      </c>
    </row>
    <row r="1082" spans="1:5" x14ac:dyDescent="0.35">
      <c r="A1082" s="2">
        <v>44958</v>
      </c>
      <c r="B1082" t="s">
        <v>82</v>
      </c>
      <c r="C1082" t="s">
        <v>24</v>
      </c>
      <c r="D1082">
        <v>293</v>
      </c>
      <c r="E1082">
        <v>15819</v>
      </c>
    </row>
    <row r="1083" spans="1:5" x14ac:dyDescent="0.35">
      <c r="A1083" s="2">
        <v>44958</v>
      </c>
      <c r="B1083" t="s">
        <v>83</v>
      </c>
      <c r="C1083" t="s">
        <v>24</v>
      </c>
      <c r="D1083">
        <v>307</v>
      </c>
      <c r="E1083">
        <v>18758</v>
      </c>
    </row>
    <row r="1084" spans="1:5" x14ac:dyDescent="0.35">
      <c r="A1084" s="2">
        <v>44958</v>
      </c>
      <c r="B1084" t="s">
        <v>84</v>
      </c>
      <c r="C1084" t="s">
        <v>24</v>
      </c>
      <c r="D1084">
        <v>60</v>
      </c>
      <c r="E1084">
        <v>32464</v>
      </c>
    </row>
    <row r="1085" spans="1:5" x14ac:dyDescent="0.35">
      <c r="A1085" s="2">
        <v>44958</v>
      </c>
      <c r="B1085" t="s">
        <v>71</v>
      </c>
      <c r="C1085" t="s">
        <v>24</v>
      </c>
      <c r="D1085">
        <v>23</v>
      </c>
      <c r="E1085">
        <v>3985</v>
      </c>
    </row>
    <row r="1086" spans="1:5" x14ac:dyDescent="0.35">
      <c r="A1086" s="2">
        <v>44958</v>
      </c>
      <c r="B1086" t="s">
        <v>85</v>
      </c>
      <c r="C1086" t="s">
        <v>24</v>
      </c>
      <c r="D1086">
        <v>142</v>
      </c>
      <c r="E1086">
        <v>8054</v>
      </c>
    </row>
    <row r="1087" spans="1:5" x14ac:dyDescent="0.35">
      <c r="A1087" s="2">
        <v>44986</v>
      </c>
      <c r="B1087" t="s">
        <v>76</v>
      </c>
      <c r="C1087" t="s">
        <v>24</v>
      </c>
      <c r="D1087">
        <v>173</v>
      </c>
      <c r="E1087">
        <v>7764</v>
      </c>
    </row>
    <row r="1088" spans="1:5" x14ac:dyDescent="0.35">
      <c r="A1088" s="2">
        <v>44986</v>
      </c>
      <c r="B1088" t="s">
        <v>54</v>
      </c>
      <c r="C1088" t="s">
        <v>24</v>
      </c>
      <c r="D1088">
        <v>20</v>
      </c>
      <c r="E1088">
        <v>8324</v>
      </c>
    </row>
    <row r="1089" spans="1:5" x14ac:dyDescent="0.35">
      <c r="A1089" s="2">
        <v>44986</v>
      </c>
      <c r="B1089" t="s">
        <v>65</v>
      </c>
      <c r="C1089" t="s">
        <v>24</v>
      </c>
      <c r="D1089">
        <v>47</v>
      </c>
      <c r="E1089">
        <v>6322</v>
      </c>
    </row>
    <row r="1090" spans="1:5" x14ac:dyDescent="0.35">
      <c r="A1090" s="2">
        <v>44986</v>
      </c>
      <c r="B1090" t="s">
        <v>66</v>
      </c>
      <c r="C1090" t="s">
        <v>24</v>
      </c>
      <c r="D1090">
        <v>131</v>
      </c>
      <c r="E1090">
        <v>2589</v>
      </c>
    </row>
    <row r="1091" spans="1:5" x14ac:dyDescent="0.35">
      <c r="A1091" s="2">
        <v>44986</v>
      </c>
      <c r="B1091" t="s">
        <v>55</v>
      </c>
      <c r="C1091" t="s">
        <v>24</v>
      </c>
      <c r="D1091">
        <v>95</v>
      </c>
      <c r="E1091">
        <v>5119</v>
      </c>
    </row>
    <row r="1092" spans="1:5" x14ac:dyDescent="0.35">
      <c r="A1092" s="2">
        <v>44986</v>
      </c>
      <c r="B1092" t="s">
        <v>56</v>
      </c>
      <c r="C1092" t="s">
        <v>24</v>
      </c>
      <c r="D1092">
        <v>2</v>
      </c>
      <c r="E1092">
        <v>485</v>
      </c>
    </row>
    <row r="1093" spans="1:5" x14ac:dyDescent="0.35">
      <c r="A1093" s="2">
        <v>44986</v>
      </c>
      <c r="B1093" t="s">
        <v>67</v>
      </c>
      <c r="C1093" t="s">
        <v>24</v>
      </c>
      <c r="D1093">
        <v>1544</v>
      </c>
      <c r="E1093">
        <v>18638</v>
      </c>
    </row>
    <row r="1094" spans="1:5" x14ac:dyDescent="0.35">
      <c r="A1094" s="2">
        <v>44986</v>
      </c>
      <c r="B1094" t="s">
        <v>77</v>
      </c>
      <c r="C1094" t="s">
        <v>24</v>
      </c>
      <c r="D1094">
        <v>112</v>
      </c>
      <c r="E1094">
        <v>2439</v>
      </c>
    </row>
    <row r="1095" spans="1:5" x14ac:dyDescent="0.35">
      <c r="A1095" s="2">
        <v>44986</v>
      </c>
      <c r="B1095" t="s">
        <v>78</v>
      </c>
      <c r="C1095" t="s">
        <v>24</v>
      </c>
      <c r="D1095">
        <v>498</v>
      </c>
      <c r="E1095">
        <v>26082</v>
      </c>
    </row>
    <row r="1096" spans="1:5" x14ac:dyDescent="0.35">
      <c r="A1096" s="2">
        <v>44986</v>
      </c>
      <c r="B1096" t="s">
        <v>74</v>
      </c>
      <c r="C1096" t="s">
        <v>24</v>
      </c>
      <c r="D1096">
        <v>477</v>
      </c>
      <c r="E1096">
        <v>21547</v>
      </c>
    </row>
    <row r="1097" spans="1:5" x14ac:dyDescent="0.35">
      <c r="A1097" s="2">
        <v>44986</v>
      </c>
      <c r="B1097" t="s">
        <v>72</v>
      </c>
      <c r="C1097" t="s">
        <v>24</v>
      </c>
      <c r="D1097">
        <v>7</v>
      </c>
      <c r="E1097">
        <v>3574</v>
      </c>
    </row>
    <row r="1098" spans="1:5" x14ac:dyDescent="0.35">
      <c r="A1098" s="2">
        <v>44986</v>
      </c>
      <c r="B1098" t="s">
        <v>57</v>
      </c>
      <c r="C1098" t="s">
        <v>24</v>
      </c>
      <c r="D1098">
        <v>17</v>
      </c>
      <c r="E1098">
        <v>5388</v>
      </c>
    </row>
    <row r="1099" spans="1:5" x14ac:dyDescent="0.35">
      <c r="A1099" s="2">
        <v>44986</v>
      </c>
      <c r="B1099" t="s">
        <v>75</v>
      </c>
      <c r="C1099" t="s">
        <v>24</v>
      </c>
      <c r="D1099">
        <v>52</v>
      </c>
      <c r="E1099">
        <v>4670</v>
      </c>
    </row>
    <row r="1100" spans="1:5" x14ac:dyDescent="0.35">
      <c r="A1100" s="2">
        <v>44986</v>
      </c>
      <c r="B1100" t="s">
        <v>79</v>
      </c>
      <c r="C1100" t="s">
        <v>24</v>
      </c>
      <c r="D1100">
        <v>1062</v>
      </c>
      <c r="E1100">
        <v>28169</v>
      </c>
    </row>
    <row r="1101" spans="1:5" x14ac:dyDescent="0.35">
      <c r="A1101" s="2">
        <v>44986</v>
      </c>
      <c r="B1101" t="s">
        <v>80</v>
      </c>
      <c r="C1101" t="s">
        <v>24</v>
      </c>
      <c r="D1101">
        <v>1107</v>
      </c>
      <c r="E1101">
        <v>24727</v>
      </c>
    </row>
    <row r="1102" spans="1:5" x14ac:dyDescent="0.35">
      <c r="A1102" s="2">
        <v>44986</v>
      </c>
      <c r="B1102" t="s">
        <v>68</v>
      </c>
      <c r="C1102" t="s">
        <v>24</v>
      </c>
      <c r="D1102">
        <v>159</v>
      </c>
      <c r="E1102">
        <v>14745</v>
      </c>
    </row>
    <row r="1103" spans="1:5" x14ac:dyDescent="0.35">
      <c r="A1103" s="2">
        <v>44986</v>
      </c>
      <c r="B1103" t="s">
        <v>81</v>
      </c>
      <c r="C1103" t="s">
        <v>24</v>
      </c>
      <c r="D1103">
        <v>1389</v>
      </c>
      <c r="E1103">
        <v>42854</v>
      </c>
    </row>
    <row r="1104" spans="1:5" x14ac:dyDescent="0.35">
      <c r="A1104" s="2">
        <v>44986</v>
      </c>
      <c r="B1104" t="s">
        <v>69</v>
      </c>
      <c r="C1104" t="s">
        <v>24</v>
      </c>
      <c r="D1104">
        <v>74</v>
      </c>
      <c r="E1104">
        <v>6358</v>
      </c>
    </row>
    <row r="1105" spans="1:5" x14ac:dyDescent="0.35">
      <c r="A1105" s="2">
        <v>44986</v>
      </c>
      <c r="B1105" t="s">
        <v>63</v>
      </c>
      <c r="C1105" t="s">
        <v>24</v>
      </c>
      <c r="D1105">
        <v>4</v>
      </c>
      <c r="E1105">
        <v>999</v>
      </c>
    </row>
    <row r="1106" spans="1:5" x14ac:dyDescent="0.35">
      <c r="A1106" s="2">
        <v>44986</v>
      </c>
      <c r="B1106" t="s">
        <v>70</v>
      </c>
      <c r="C1106" t="s">
        <v>24</v>
      </c>
      <c r="D1106">
        <v>13</v>
      </c>
      <c r="E1106">
        <v>12430</v>
      </c>
    </row>
    <row r="1107" spans="1:5" x14ac:dyDescent="0.35">
      <c r="A1107" s="2">
        <v>44986</v>
      </c>
      <c r="B1107" t="s">
        <v>82</v>
      </c>
      <c r="C1107" t="s">
        <v>24</v>
      </c>
      <c r="D1107">
        <v>425</v>
      </c>
      <c r="E1107">
        <v>18370</v>
      </c>
    </row>
    <row r="1108" spans="1:5" x14ac:dyDescent="0.35">
      <c r="A1108" s="2">
        <v>44986</v>
      </c>
      <c r="B1108" t="s">
        <v>83</v>
      </c>
      <c r="C1108" t="s">
        <v>24</v>
      </c>
      <c r="D1108">
        <v>571</v>
      </c>
      <c r="E1108">
        <v>22131</v>
      </c>
    </row>
    <row r="1109" spans="1:5" x14ac:dyDescent="0.35">
      <c r="A1109" s="2">
        <v>44986</v>
      </c>
      <c r="B1109" t="s">
        <v>64</v>
      </c>
      <c r="C1109" t="s">
        <v>24</v>
      </c>
      <c r="D1109">
        <v>9</v>
      </c>
      <c r="E1109">
        <v>329</v>
      </c>
    </row>
    <row r="1110" spans="1:5" x14ac:dyDescent="0.35">
      <c r="A1110" s="2">
        <v>44986</v>
      </c>
      <c r="B1110" t="s">
        <v>84</v>
      </c>
      <c r="C1110" t="s">
        <v>24</v>
      </c>
      <c r="D1110">
        <v>431</v>
      </c>
      <c r="E1110">
        <v>34186</v>
      </c>
    </row>
    <row r="1111" spans="1:5" x14ac:dyDescent="0.35">
      <c r="A1111" s="2">
        <v>44986</v>
      </c>
      <c r="B1111" t="s">
        <v>71</v>
      </c>
      <c r="C1111" t="s">
        <v>24</v>
      </c>
      <c r="D1111">
        <v>48</v>
      </c>
      <c r="E1111">
        <v>4596</v>
      </c>
    </row>
    <row r="1112" spans="1:5" x14ac:dyDescent="0.35">
      <c r="A1112" s="2">
        <v>44986</v>
      </c>
      <c r="B1112" t="s">
        <v>85</v>
      </c>
      <c r="C1112" t="s">
        <v>24</v>
      </c>
      <c r="D1112">
        <v>352</v>
      </c>
      <c r="E1112">
        <v>8955</v>
      </c>
    </row>
    <row r="1113" spans="1:5" x14ac:dyDescent="0.35">
      <c r="A1113" s="2">
        <v>45017</v>
      </c>
      <c r="B1113" t="s">
        <v>76</v>
      </c>
      <c r="C1113" t="s">
        <v>24</v>
      </c>
      <c r="D1113">
        <v>225</v>
      </c>
      <c r="E1113">
        <v>7229</v>
      </c>
    </row>
    <row r="1114" spans="1:5" x14ac:dyDescent="0.35">
      <c r="A1114" s="2">
        <v>45017</v>
      </c>
      <c r="B1114" t="s">
        <v>54</v>
      </c>
      <c r="C1114" t="s">
        <v>24</v>
      </c>
      <c r="D1114">
        <v>20</v>
      </c>
      <c r="E1114">
        <v>7022</v>
      </c>
    </row>
    <row r="1115" spans="1:5" x14ac:dyDescent="0.35">
      <c r="A1115" s="2">
        <v>45017</v>
      </c>
      <c r="B1115" t="s">
        <v>65</v>
      </c>
      <c r="C1115" t="s">
        <v>24</v>
      </c>
      <c r="D1115">
        <v>40</v>
      </c>
      <c r="E1115">
        <v>5840</v>
      </c>
    </row>
    <row r="1116" spans="1:5" x14ac:dyDescent="0.35">
      <c r="A1116" s="2">
        <v>45017</v>
      </c>
      <c r="B1116" t="s">
        <v>66</v>
      </c>
      <c r="C1116" t="s">
        <v>24</v>
      </c>
      <c r="D1116">
        <v>62</v>
      </c>
      <c r="E1116">
        <v>2482</v>
      </c>
    </row>
    <row r="1117" spans="1:5" x14ac:dyDescent="0.35">
      <c r="A1117" s="2">
        <v>45017</v>
      </c>
      <c r="B1117" t="s">
        <v>55</v>
      </c>
      <c r="C1117" t="s">
        <v>24</v>
      </c>
      <c r="D1117">
        <v>93</v>
      </c>
      <c r="E1117">
        <v>5558</v>
      </c>
    </row>
    <row r="1118" spans="1:5" x14ac:dyDescent="0.35">
      <c r="A1118" s="2">
        <v>45017</v>
      </c>
      <c r="B1118" t="s">
        <v>67</v>
      </c>
      <c r="C1118" t="s">
        <v>24</v>
      </c>
      <c r="D1118">
        <v>551</v>
      </c>
      <c r="E1118">
        <v>14861</v>
      </c>
    </row>
    <row r="1119" spans="1:5" x14ac:dyDescent="0.35">
      <c r="A1119" s="2">
        <v>45017</v>
      </c>
      <c r="B1119" t="s">
        <v>77</v>
      </c>
      <c r="C1119" t="s">
        <v>24</v>
      </c>
      <c r="D1119">
        <v>57</v>
      </c>
      <c r="E1119">
        <v>1633</v>
      </c>
    </row>
    <row r="1120" spans="1:5" x14ac:dyDescent="0.35">
      <c r="A1120" s="2">
        <v>45017</v>
      </c>
      <c r="B1120" t="s">
        <v>78</v>
      </c>
      <c r="C1120" t="s">
        <v>24</v>
      </c>
      <c r="D1120">
        <v>537</v>
      </c>
      <c r="E1120">
        <v>28451</v>
      </c>
    </row>
    <row r="1121" spans="1:5" x14ac:dyDescent="0.35">
      <c r="A1121" s="2">
        <v>45017</v>
      </c>
      <c r="B1121" t="s">
        <v>74</v>
      </c>
      <c r="C1121" t="s">
        <v>24</v>
      </c>
      <c r="D1121">
        <v>363</v>
      </c>
      <c r="E1121">
        <v>21914</v>
      </c>
    </row>
    <row r="1122" spans="1:5" x14ac:dyDescent="0.35">
      <c r="A1122" s="2">
        <v>45017</v>
      </c>
      <c r="B1122" t="s">
        <v>72</v>
      </c>
      <c r="C1122" t="s">
        <v>24</v>
      </c>
      <c r="D1122">
        <v>9</v>
      </c>
      <c r="E1122">
        <v>3880</v>
      </c>
    </row>
    <row r="1123" spans="1:5" x14ac:dyDescent="0.35">
      <c r="A1123" s="2">
        <v>45017</v>
      </c>
      <c r="B1123" t="s">
        <v>57</v>
      </c>
      <c r="C1123" t="s">
        <v>24</v>
      </c>
      <c r="D1123">
        <v>4</v>
      </c>
      <c r="E1123">
        <v>3728</v>
      </c>
    </row>
    <row r="1124" spans="1:5" x14ac:dyDescent="0.35">
      <c r="A1124" s="2">
        <v>45017</v>
      </c>
      <c r="B1124" t="s">
        <v>75</v>
      </c>
      <c r="C1124" t="s">
        <v>24</v>
      </c>
      <c r="D1124">
        <v>39</v>
      </c>
      <c r="E1124">
        <v>4281</v>
      </c>
    </row>
    <row r="1125" spans="1:5" x14ac:dyDescent="0.35">
      <c r="A1125" s="2">
        <v>45017</v>
      </c>
      <c r="B1125" t="s">
        <v>79</v>
      </c>
      <c r="C1125" t="s">
        <v>24</v>
      </c>
      <c r="D1125">
        <v>762</v>
      </c>
      <c r="E1125">
        <v>22368</v>
      </c>
    </row>
    <row r="1126" spans="1:5" x14ac:dyDescent="0.35">
      <c r="A1126" s="2">
        <v>45017</v>
      </c>
      <c r="B1126" t="s">
        <v>80</v>
      </c>
      <c r="C1126" t="s">
        <v>24</v>
      </c>
      <c r="D1126">
        <v>637</v>
      </c>
      <c r="E1126">
        <v>9171</v>
      </c>
    </row>
    <row r="1127" spans="1:5" x14ac:dyDescent="0.35">
      <c r="A1127" s="2">
        <v>45017</v>
      </c>
      <c r="B1127" t="s">
        <v>68</v>
      </c>
      <c r="C1127" t="s">
        <v>24</v>
      </c>
      <c r="D1127">
        <v>95</v>
      </c>
      <c r="E1127">
        <v>10894</v>
      </c>
    </row>
    <row r="1128" spans="1:5" x14ac:dyDescent="0.35">
      <c r="A1128" s="2">
        <v>45017</v>
      </c>
      <c r="B1128" t="s">
        <v>81</v>
      </c>
      <c r="C1128" t="s">
        <v>24</v>
      </c>
      <c r="D1128">
        <v>1139</v>
      </c>
      <c r="E1128">
        <v>35336</v>
      </c>
    </row>
    <row r="1129" spans="1:5" x14ac:dyDescent="0.35">
      <c r="A1129" s="2">
        <v>45017</v>
      </c>
      <c r="B1129" t="s">
        <v>60</v>
      </c>
      <c r="C1129" t="s">
        <v>24</v>
      </c>
      <c r="D1129">
        <v>2</v>
      </c>
      <c r="E1129">
        <v>1094</v>
      </c>
    </row>
    <row r="1130" spans="1:5" x14ac:dyDescent="0.35">
      <c r="A1130" s="2">
        <v>45017</v>
      </c>
      <c r="B1130" t="s">
        <v>69</v>
      </c>
      <c r="C1130" t="s">
        <v>24</v>
      </c>
      <c r="D1130">
        <v>84</v>
      </c>
      <c r="E1130">
        <v>5315</v>
      </c>
    </row>
    <row r="1131" spans="1:5" x14ac:dyDescent="0.35">
      <c r="A1131" s="2">
        <v>45017</v>
      </c>
      <c r="B1131" t="s">
        <v>63</v>
      </c>
      <c r="C1131" t="s">
        <v>24</v>
      </c>
      <c r="D1131">
        <v>5</v>
      </c>
      <c r="E1131">
        <v>735</v>
      </c>
    </row>
    <row r="1132" spans="1:5" x14ac:dyDescent="0.35">
      <c r="A1132" s="2">
        <v>45017</v>
      </c>
      <c r="B1132" t="s">
        <v>70</v>
      </c>
      <c r="C1132" t="s">
        <v>24</v>
      </c>
      <c r="D1132">
        <v>22</v>
      </c>
      <c r="E1132">
        <v>9734</v>
      </c>
    </row>
    <row r="1133" spans="1:5" x14ac:dyDescent="0.35">
      <c r="A1133" s="2">
        <v>45017</v>
      </c>
      <c r="B1133" t="s">
        <v>82</v>
      </c>
      <c r="C1133" t="s">
        <v>24</v>
      </c>
      <c r="D1133">
        <v>291</v>
      </c>
      <c r="E1133">
        <v>14377</v>
      </c>
    </row>
    <row r="1134" spans="1:5" x14ac:dyDescent="0.35">
      <c r="A1134" s="2">
        <v>45017</v>
      </c>
      <c r="B1134" t="s">
        <v>83</v>
      </c>
      <c r="C1134" t="s">
        <v>24</v>
      </c>
      <c r="D1134">
        <v>399</v>
      </c>
      <c r="E1134">
        <v>18659</v>
      </c>
    </row>
    <row r="1135" spans="1:5" x14ac:dyDescent="0.35">
      <c r="A1135" s="2">
        <v>45017</v>
      </c>
      <c r="B1135" t="s">
        <v>84</v>
      </c>
      <c r="C1135" t="s">
        <v>24</v>
      </c>
      <c r="D1135">
        <v>364</v>
      </c>
      <c r="E1135">
        <v>32143</v>
      </c>
    </row>
    <row r="1136" spans="1:5" x14ac:dyDescent="0.35">
      <c r="A1136" s="2">
        <v>45017</v>
      </c>
      <c r="B1136" t="s">
        <v>71</v>
      </c>
      <c r="C1136" t="s">
        <v>24</v>
      </c>
      <c r="D1136">
        <v>47</v>
      </c>
      <c r="E1136">
        <v>4887</v>
      </c>
    </row>
    <row r="1137" spans="1:5" x14ac:dyDescent="0.35">
      <c r="A1137" s="2">
        <v>45017</v>
      </c>
      <c r="B1137" t="s">
        <v>85</v>
      </c>
      <c r="C1137" t="s">
        <v>24</v>
      </c>
      <c r="D1137">
        <v>152</v>
      </c>
      <c r="E1137">
        <v>7999</v>
      </c>
    </row>
    <row r="1138" spans="1:5" x14ac:dyDescent="0.35">
      <c r="A1138" s="2">
        <v>45047</v>
      </c>
      <c r="B1138" t="s">
        <v>76</v>
      </c>
      <c r="C1138" t="s">
        <v>24</v>
      </c>
      <c r="D1138">
        <v>216</v>
      </c>
      <c r="E1138">
        <v>8095</v>
      </c>
    </row>
    <row r="1139" spans="1:5" x14ac:dyDescent="0.35">
      <c r="A1139" s="2">
        <v>45047</v>
      </c>
      <c r="B1139" t="s">
        <v>54</v>
      </c>
      <c r="C1139" t="s">
        <v>24</v>
      </c>
      <c r="D1139">
        <v>30</v>
      </c>
      <c r="E1139">
        <v>6994</v>
      </c>
    </row>
    <row r="1140" spans="1:5" x14ac:dyDescent="0.35">
      <c r="A1140" s="2">
        <v>45047</v>
      </c>
      <c r="B1140" t="s">
        <v>65</v>
      </c>
      <c r="C1140" t="s">
        <v>24</v>
      </c>
      <c r="D1140">
        <v>46</v>
      </c>
      <c r="E1140">
        <v>6865</v>
      </c>
    </row>
    <row r="1141" spans="1:5" x14ac:dyDescent="0.35">
      <c r="A1141" s="2">
        <v>45047</v>
      </c>
      <c r="B1141" t="s">
        <v>66</v>
      </c>
      <c r="C1141" t="s">
        <v>24</v>
      </c>
      <c r="D1141">
        <v>83</v>
      </c>
      <c r="E1141">
        <v>2556</v>
      </c>
    </row>
    <row r="1142" spans="1:5" x14ac:dyDescent="0.35">
      <c r="A1142" s="2">
        <v>45047</v>
      </c>
      <c r="B1142" t="s">
        <v>55</v>
      </c>
      <c r="C1142" t="s">
        <v>24</v>
      </c>
      <c r="D1142">
        <v>185</v>
      </c>
      <c r="E1142">
        <v>3785</v>
      </c>
    </row>
    <row r="1143" spans="1:5" x14ac:dyDescent="0.35">
      <c r="A1143" s="2">
        <v>45047</v>
      </c>
      <c r="B1143" t="s">
        <v>56</v>
      </c>
      <c r="C1143" t="s">
        <v>24</v>
      </c>
      <c r="D1143">
        <v>4</v>
      </c>
      <c r="E1143">
        <v>416</v>
      </c>
    </row>
    <row r="1144" spans="1:5" x14ac:dyDescent="0.35">
      <c r="A1144" s="2">
        <v>45047</v>
      </c>
      <c r="B1144" t="s">
        <v>67</v>
      </c>
      <c r="C1144" t="s">
        <v>24</v>
      </c>
      <c r="D1144">
        <v>787</v>
      </c>
      <c r="E1144">
        <v>16609</v>
      </c>
    </row>
    <row r="1145" spans="1:5" x14ac:dyDescent="0.35">
      <c r="A1145" s="2">
        <v>45047</v>
      </c>
      <c r="B1145" t="s">
        <v>77</v>
      </c>
      <c r="C1145" t="s">
        <v>24</v>
      </c>
      <c r="D1145">
        <v>85</v>
      </c>
      <c r="E1145">
        <v>1878</v>
      </c>
    </row>
    <row r="1146" spans="1:5" x14ac:dyDescent="0.35">
      <c r="A1146" s="2">
        <v>45047</v>
      </c>
      <c r="B1146" t="s">
        <v>78</v>
      </c>
      <c r="C1146" t="s">
        <v>24</v>
      </c>
      <c r="D1146">
        <v>710</v>
      </c>
      <c r="E1146">
        <v>25770</v>
      </c>
    </row>
    <row r="1147" spans="1:5" x14ac:dyDescent="0.35">
      <c r="A1147" s="2">
        <v>45047</v>
      </c>
      <c r="B1147" t="s">
        <v>74</v>
      </c>
      <c r="C1147" t="s">
        <v>24</v>
      </c>
      <c r="D1147">
        <v>211</v>
      </c>
      <c r="E1147">
        <v>21218</v>
      </c>
    </row>
    <row r="1148" spans="1:5" x14ac:dyDescent="0.35">
      <c r="A1148" s="2">
        <v>45047</v>
      </c>
      <c r="B1148" t="s">
        <v>72</v>
      </c>
      <c r="C1148" t="s">
        <v>24</v>
      </c>
      <c r="D1148">
        <v>21</v>
      </c>
      <c r="E1148">
        <v>3565</v>
      </c>
    </row>
    <row r="1149" spans="1:5" x14ac:dyDescent="0.35">
      <c r="A1149" s="2">
        <v>45047</v>
      </c>
      <c r="B1149" t="s">
        <v>57</v>
      </c>
      <c r="C1149" t="s">
        <v>24</v>
      </c>
      <c r="D1149">
        <v>14</v>
      </c>
      <c r="E1149">
        <v>5095</v>
      </c>
    </row>
    <row r="1150" spans="1:5" x14ac:dyDescent="0.35">
      <c r="A1150" s="2">
        <v>45047</v>
      </c>
      <c r="B1150" t="s">
        <v>75</v>
      </c>
      <c r="C1150" t="s">
        <v>24</v>
      </c>
      <c r="D1150">
        <v>37</v>
      </c>
      <c r="E1150">
        <v>4755</v>
      </c>
    </row>
    <row r="1151" spans="1:5" x14ac:dyDescent="0.35">
      <c r="A1151" s="2">
        <v>45047</v>
      </c>
      <c r="B1151" t="s">
        <v>79</v>
      </c>
      <c r="C1151" t="s">
        <v>24</v>
      </c>
      <c r="D1151">
        <v>999</v>
      </c>
      <c r="E1151">
        <v>22601</v>
      </c>
    </row>
    <row r="1152" spans="1:5" x14ac:dyDescent="0.35">
      <c r="A1152" s="2">
        <v>45047</v>
      </c>
      <c r="B1152" t="s">
        <v>80</v>
      </c>
      <c r="C1152" t="s">
        <v>24</v>
      </c>
      <c r="D1152">
        <v>954</v>
      </c>
      <c r="E1152">
        <v>14819</v>
      </c>
    </row>
    <row r="1153" spans="1:5" x14ac:dyDescent="0.35">
      <c r="A1153" s="2">
        <v>45047</v>
      </c>
      <c r="B1153" t="s">
        <v>68</v>
      </c>
      <c r="C1153" t="s">
        <v>24</v>
      </c>
      <c r="D1153">
        <v>136</v>
      </c>
      <c r="E1153">
        <v>12488</v>
      </c>
    </row>
    <row r="1154" spans="1:5" x14ac:dyDescent="0.35">
      <c r="A1154" s="2">
        <v>45047</v>
      </c>
      <c r="B1154" t="s">
        <v>81</v>
      </c>
      <c r="C1154" t="s">
        <v>24</v>
      </c>
      <c r="D1154">
        <v>1137</v>
      </c>
      <c r="E1154">
        <v>35179</v>
      </c>
    </row>
    <row r="1155" spans="1:5" x14ac:dyDescent="0.35">
      <c r="A1155" s="2">
        <v>45047</v>
      </c>
      <c r="B1155" t="s">
        <v>59</v>
      </c>
      <c r="C1155" t="s">
        <v>24</v>
      </c>
      <c r="D1155">
        <v>4</v>
      </c>
      <c r="E1155">
        <v>119</v>
      </c>
    </row>
    <row r="1156" spans="1:5" x14ac:dyDescent="0.35">
      <c r="A1156" s="2">
        <v>45047</v>
      </c>
      <c r="B1156" t="s">
        <v>60</v>
      </c>
      <c r="C1156" t="s">
        <v>24</v>
      </c>
      <c r="D1156">
        <v>2</v>
      </c>
      <c r="E1156">
        <v>1027</v>
      </c>
    </row>
    <row r="1157" spans="1:5" x14ac:dyDescent="0.35">
      <c r="A1157" s="2">
        <v>45047</v>
      </c>
      <c r="B1157" t="s">
        <v>69</v>
      </c>
      <c r="C1157" t="s">
        <v>24</v>
      </c>
      <c r="D1157">
        <v>105</v>
      </c>
      <c r="E1157">
        <v>5951</v>
      </c>
    </row>
    <row r="1158" spans="1:5" x14ac:dyDescent="0.35">
      <c r="A1158" s="2">
        <v>45047</v>
      </c>
      <c r="B1158" t="s">
        <v>63</v>
      </c>
      <c r="C1158" t="s">
        <v>24</v>
      </c>
      <c r="D1158">
        <v>6</v>
      </c>
      <c r="E1158">
        <v>943</v>
      </c>
    </row>
    <row r="1159" spans="1:5" x14ac:dyDescent="0.35">
      <c r="A1159" s="2">
        <v>45047</v>
      </c>
      <c r="B1159" t="s">
        <v>70</v>
      </c>
      <c r="C1159" t="s">
        <v>24</v>
      </c>
      <c r="D1159">
        <v>63</v>
      </c>
      <c r="E1159">
        <v>11047</v>
      </c>
    </row>
    <row r="1160" spans="1:5" x14ac:dyDescent="0.35">
      <c r="A1160" s="2">
        <v>45047</v>
      </c>
      <c r="B1160" t="s">
        <v>82</v>
      </c>
      <c r="C1160" t="s">
        <v>24</v>
      </c>
      <c r="D1160">
        <v>419</v>
      </c>
      <c r="E1160">
        <v>16157</v>
      </c>
    </row>
    <row r="1161" spans="1:5" x14ac:dyDescent="0.35">
      <c r="A1161" s="2">
        <v>45047</v>
      </c>
      <c r="B1161" t="s">
        <v>83</v>
      </c>
      <c r="C1161" t="s">
        <v>24</v>
      </c>
      <c r="D1161">
        <v>529</v>
      </c>
      <c r="E1161">
        <v>20789</v>
      </c>
    </row>
    <row r="1162" spans="1:5" x14ac:dyDescent="0.35">
      <c r="A1162" s="2">
        <v>45047</v>
      </c>
      <c r="B1162" t="s">
        <v>64</v>
      </c>
      <c r="C1162" t="s">
        <v>24</v>
      </c>
      <c r="D1162">
        <v>2</v>
      </c>
      <c r="E1162">
        <v>436</v>
      </c>
    </row>
    <row r="1163" spans="1:5" x14ac:dyDescent="0.35">
      <c r="A1163" s="2">
        <v>45047</v>
      </c>
      <c r="B1163" t="s">
        <v>84</v>
      </c>
      <c r="C1163" t="s">
        <v>24</v>
      </c>
      <c r="D1163">
        <v>472</v>
      </c>
      <c r="E1163">
        <v>34515</v>
      </c>
    </row>
    <row r="1164" spans="1:5" x14ac:dyDescent="0.35">
      <c r="A1164" s="2">
        <v>45047</v>
      </c>
      <c r="B1164" t="s">
        <v>71</v>
      </c>
      <c r="C1164" t="s">
        <v>24</v>
      </c>
      <c r="D1164">
        <v>61</v>
      </c>
      <c r="E1164">
        <v>4675</v>
      </c>
    </row>
    <row r="1165" spans="1:5" x14ac:dyDescent="0.35">
      <c r="A1165" s="2">
        <v>45047</v>
      </c>
      <c r="B1165" t="s">
        <v>85</v>
      </c>
      <c r="C1165" t="s">
        <v>24</v>
      </c>
      <c r="D1165">
        <v>322</v>
      </c>
      <c r="E1165">
        <v>8672</v>
      </c>
    </row>
    <row r="1166" spans="1:5" x14ac:dyDescent="0.35">
      <c r="A1166" s="2">
        <v>45078</v>
      </c>
      <c r="B1166" t="s">
        <v>76</v>
      </c>
      <c r="C1166" t="s">
        <v>24</v>
      </c>
      <c r="D1166">
        <v>156</v>
      </c>
      <c r="E1166">
        <v>6611</v>
      </c>
    </row>
    <row r="1167" spans="1:5" x14ac:dyDescent="0.35">
      <c r="A1167" s="2">
        <v>45078</v>
      </c>
      <c r="B1167" t="s">
        <v>54</v>
      </c>
      <c r="C1167" t="s">
        <v>24</v>
      </c>
      <c r="D1167">
        <v>28</v>
      </c>
      <c r="E1167">
        <v>6751</v>
      </c>
    </row>
    <row r="1168" spans="1:5" x14ac:dyDescent="0.35">
      <c r="A1168" s="2">
        <v>45078</v>
      </c>
      <c r="B1168" t="s">
        <v>65</v>
      </c>
      <c r="C1168" t="s">
        <v>24</v>
      </c>
      <c r="D1168">
        <v>52</v>
      </c>
      <c r="E1168">
        <v>6134</v>
      </c>
    </row>
    <row r="1169" spans="1:5" x14ac:dyDescent="0.35">
      <c r="A1169" s="2">
        <v>45078</v>
      </c>
      <c r="B1169" t="s">
        <v>66</v>
      </c>
      <c r="C1169" t="s">
        <v>24</v>
      </c>
      <c r="D1169">
        <v>77</v>
      </c>
      <c r="E1169">
        <v>2597</v>
      </c>
    </row>
    <row r="1170" spans="1:5" x14ac:dyDescent="0.35">
      <c r="A1170" s="2">
        <v>45078</v>
      </c>
      <c r="B1170" t="s">
        <v>55</v>
      </c>
      <c r="C1170" t="s">
        <v>24</v>
      </c>
      <c r="D1170">
        <v>114</v>
      </c>
      <c r="E1170">
        <v>3650</v>
      </c>
    </row>
    <row r="1171" spans="1:5" x14ac:dyDescent="0.35">
      <c r="A1171" s="2">
        <v>45078</v>
      </c>
      <c r="B1171" t="s">
        <v>67</v>
      </c>
      <c r="C1171" t="s">
        <v>24</v>
      </c>
      <c r="D1171">
        <v>935</v>
      </c>
      <c r="E1171">
        <v>15723</v>
      </c>
    </row>
    <row r="1172" spans="1:5" x14ac:dyDescent="0.35">
      <c r="A1172" s="2">
        <v>45078</v>
      </c>
      <c r="B1172" t="s">
        <v>77</v>
      </c>
      <c r="C1172" t="s">
        <v>24</v>
      </c>
      <c r="D1172">
        <v>75</v>
      </c>
      <c r="E1172">
        <v>1699</v>
      </c>
    </row>
    <row r="1173" spans="1:5" x14ac:dyDescent="0.35">
      <c r="A1173" s="2">
        <v>45078</v>
      </c>
      <c r="B1173" t="s">
        <v>78</v>
      </c>
      <c r="C1173" t="s">
        <v>24</v>
      </c>
      <c r="D1173">
        <v>698</v>
      </c>
      <c r="E1173">
        <v>24829</v>
      </c>
    </row>
    <row r="1174" spans="1:5" x14ac:dyDescent="0.35">
      <c r="A1174" s="2">
        <v>45078</v>
      </c>
      <c r="B1174" t="s">
        <v>74</v>
      </c>
      <c r="C1174" t="s">
        <v>24</v>
      </c>
      <c r="D1174">
        <v>263</v>
      </c>
      <c r="E1174">
        <v>21135</v>
      </c>
    </row>
    <row r="1175" spans="1:5" x14ac:dyDescent="0.35">
      <c r="A1175" s="2">
        <v>45078</v>
      </c>
      <c r="B1175" t="s">
        <v>72</v>
      </c>
      <c r="C1175" t="s">
        <v>24</v>
      </c>
      <c r="D1175">
        <v>19</v>
      </c>
      <c r="E1175">
        <v>3448</v>
      </c>
    </row>
    <row r="1176" spans="1:5" x14ac:dyDescent="0.35">
      <c r="A1176" s="2">
        <v>45078</v>
      </c>
      <c r="B1176" t="s">
        <v>57</v>
      </c>
      <c r="C1176" t="s">
        <v>24</v>
      </c>
      <c r="D1176">
        <v>18</v>
      </c>
      <c r="E1176">
        <v>4437</v>
      </c>
    </row>
    <row r="1177" spans="1:5" x14ac:dyDescent="0.35">
      <c r="A1177" s="2">
        <v>45078</v>
      </c>
      <c r="B1177" t="s">
        <v>75</v>
      </c>
      <c r="C1177" t="s">
        <v>24</v>
      </c>
      <c r="D1177">
        <v>48</v>
      </c>
      <c r="E1177">
        <v>4320</v>
      </c>
    </row>
    <row r="1178" spans="1:5" x14ac:dyDescent="0.35">
      <c r="A1178" s="2">
        <v>45078</v>
      </c>
      <c r="B1178" t="s">
        <v>79</v>
      </c>
      <c r="C1178" t="s">
        <v>24</v>
      </c>
      <c r="D1178">
        <v>1142</v>
      </c>
      <c r="E1178">
        <v>24603</v>
      </c>
    </row>
    <row r="1179" spans="1:5" x14ac:dyDescent="0.35">
      <c r="A1179" s="2">
        <v>45078</v>
      </c>
      <c r="B1179" t="s">
        <v>80</v>
      </c>
      <c r="C1179" t="s">
        <v>24</v>
      </c>
      <c r="D1179">
        <v>885</v>
      </c>
      <c r="E1179">
        <v>14389</v>
      </c>
    </row>
    <row r="1180" spans="1:5" x14ac:dyDescent="0.35">
      <c r="A1180" s="2">
        <v>45078</v>
      </c>
      <c r="B1180" t="s">
        <v>68</v>
      </c>
      <c r="C1180" t="s">
        <v>24</v>
      </c>
      <c r="D1180">
        <v>107</v>
      </c>
      <c r="E1180">
        <v>10927</v>
      </c>
    </row>
    <row r="1181" spans="1:5" x14ac:dyDescent="0.35">
      <c r="A1181" s="2">
        <v>45078</v>
      </c>
      <c r="B1181" t="s">
        <v>81</v>
      </c>
      <c r="C1181" t="s">
        <v>24</v>
      </c>
      <c r="D1181">
        <v>1360</v>
      </c>
      <c r="E1181">
        <v>36069</v>
      </c>
    </row>
    <row r="1182" spans="1:5" x14ac:dyDescent="0.35">
      <c r="A1182" s="2">
        <v>45078</v>
      </c>
      <c r="B1182" t="s">
        <v>60</v>
      </c>
      <c r="C1182" t="s">
        <v>24</v>
      </c>
      <c r="D1182">
        <v>2</v>
      </c>
      <c r="E1182">
        <v>950</v>
      </c>
    </row>
    <row r="1183" spans="1:5" x14ac:dyDescent="0.35">
      <c r="A1183" s="2">
        <v>45078</v>
      </c>
      <c r="B1183" t="s">
        <v>69</v>
      </c>
      <c r="C1183" t="s">
        <v>24</v>
      </c>
      <c r="D1183">
        <v>89</v>
      </c>
      <c r="E1183">
        <v>5873</v>
      </c>
    </row>
    <row r="1184" spans="1:5" x14ac:dyDescent="0.35">
      <c r="A1184" s="2">
        <v>45078</v>
      </c>
      <c r="B1184" t="s">
        <v>63</v>
      </c>
      <c r="C1184" t="s">
        <v>24</v>
      </c>
      <c r="D1184">
        <v>8</v>
      </c>
      <c r="E1184">
        <v>910</v>
      </c>
    </row>
    <row r="1185" spans="1:5" x14ac:dyDescent="0.35">
      <c r="A1185" s="2">
        <v>45078</v>
      </c>
      <c r="B1185" t="s">
        <v>70</v>
      </c>
      <c r="C1185" t="s">
        <v>24</v>
      </c>
      <c r="D1185">
        <v>76</v>
      </c>
      <c r="E1185">
        <v>10547</v>
      </c>
    </row>
    <row r="1186" spans="1:5" x14ac:dyDescent="0.35">
      <c r="A1186" s="2">
        <v>45078</v>
      </c>
      <c r="B1186" t="s">
        <v>82</v>
      </c>
      <c r="C1186" t="s">
        <v>24</v>
      </c>
      <c r="D1186">
        <v>380</v>
      </c>
      <c r="E1186">
        <v>15534</v>
      </c>
    </row>
    <row r="1187" spans="1:5" x14ac:dyDescent="0.35">
      <c r="A1187" s="2">
        <v>45078</v>
      </c>
      <c r="B1187" t="s">
        <v>83</v>
      </c>
      <c r="C1187" t="s">
        <v>24</v>
      </c>
      <c r="D1187">
        <v>572</v>
      </c>
      <c r="E1187">
        <v>22976</v>
      </c>
    </row>
    <row r="1188" spans="1:5" x14ac:dyDescent="0.35">
      <c r="A1188" s="2">
        <v>45078</v>
      </c>
      <c r="B1188" t="s">
        <v>64</v>
      </c>
      <c r="C1188" t="s">
        <v>24</v>
      </c>
      <c r="D1188">
        <v>2</v>
      </c>
      <c r="E1188">
        <v>375</v>
      </c>
    </row>
    <row r="1189" spans="1:5" x14ac:dyDescent="0.35">
      <c r="A1189" s="2">
        <v>45078</v>
      </c>
      <c r="B1189" t="s">
        <v>84</v>
      </c>
      <c r="C1189" t="s">
        <v>24</v>
      </c>
      <c r="D1189">
        <v>393</v>
      </c>
      <c r="E1189">
        <v>30578</v>
      </c>
    </row>
    <row r="1190" spans="1:5" x14ac:dyDescent="0.35">
      <c r="A1190" s="2">
        <v>45078</v>
      </c>
      <c r="B1190" t="s">
        <v>71</v>
      </c>
      <c r="C1190" t="s">
        <v>24</v>
      </c>
      <c r="D1190">
        <v>42</v>
      </c>
      <c r="E1190">
        <v>4393</v>
      </c>
    </row>
    <row r="1191" spans="1:5" x14ac:dyDescent="0.35">
      <c r="A1191" s="2">
        <v>45078</v>
      </c>
      <c r="B1191" t="s">
        <v>85</v>
      </c>
      <c r="C1191" t="s">
        <v>24</v>
      </c>
      <c r="D1191">
        <v>247</v>
      </c>
      <c r="E1191">
        <v>8471</v>
      </c>
    </row>
    <row r="1192" spans="1:5" x14ac:dyDescent="0.35">
      <c r="A1192" s="2">
        <v>45108</v>
      </c>
      <c r="B1192" t="s">
        <v>52</v>
      </c>
      <c r="C1192" t="s">
        <v>24</v>
      </c>
      <c r="D1192">
        <v>3</v>
      </c>
      <c r="E1192">
        <v>163</v>
      </c>
    </row>
    <row r="1193" spans="1:5" x14ac:dyDescent="0.35">
      <c r="A1193" s="2">
        <v>45108</v>
      </c>
      <c r="B1193" t="s">
        <v>76</v>
      </c>
      <c r="C1193" t="s">
        <v>24</v>
      </c>
      <c r="D1193">
        <v>157</v>
      </c>
      <c r="E1193">
        <v>6820</v>
      </c>
    </row>
    <row r="1194" spans="1:5" x14ac:dyDescent="0.35">
      <c r="A1194" s="2">
        <v>45108</v>
      </c>
      <c r="B1194" t="s">
        <v>53</v>
      </c>
      <c r="C1194" t="s">
        <v>24</v>
      </c>
      <c r="D1194">
        <v>2</v>
      </c>
      <c r="E1194">
        <v>1069</v>
      </c>
    </row>
    <row r="1195" spans="1:5" x14ac:dyDescent="0.35">
      <c r="A1195" s="2">
        <v>45108</v>
      </c>
      <c r="B1195" t="s">
        <v>54</v>
      </c>
      <c r="C1195" t="s">
        <v>24</v>
      </c>
      <c r="D1195">
        <v>23</v>
      </c>
      <c r="E1195">
        <v>7381</v>
      </c>
    </row>
    <row r="1196" spans="1:5" x14ac:dyDescent="0.35">
      <c r="A1196" s="2">
        <v>45108</v>
      </c>
      <c r="B1196" t="s">
        <v>65</v>
      </c>
      <c r="C1196" t="s">
        <v>24</v>
      </c>
      <c r="D1196">
        <v>58</v>
      </c>
      <c r="E1196">
        <v>5189</v>
      </c>
    </row>
    <row r="1197" spans="1:5" x14ac:dyDescent="0.35">
      <c r="A1197" s="2">
        <v>45108</v>
      </c>
      <c r="B1197" t="s">
        <v>66</v>
      </c>
      <c r="C1197" t="s">
        <v>24</v>
      </c>
      <c r="D1197">
        <v>71</v>
      </c>
      <c r="E1197">
        <v>2326</v>
      </c>
    </row>
    <row r="1198" spans="1:5" x14ac:dyDescent="0.35">
      <c r="A1198" s="2">
        <v>45108</v>
      </c>
      <c r="B1198" t="s">
        <v>55</v>
      </c>
      <c r="C1198" t="s">
        <v>24</v>
      </c>
      <c r="D1198">
        <v>94</v>
      </c>
      <c r="E1198">
        <v>3346</v>
      </c>
    </row>
    <row r="1199" spans="1:5" x14ac:dyDescent="0.35">
      <c r="A1199" s="2">
        <v>45108</v>
      </c>
      <c r="B1199" t="s">
        <v>56</v>
      </c>
      <c r="C1199" t="s">
        <v>24</v>
      </c>
      <c r="D1199">
        <v>4</v>
      </c>
      <c r="E1199">
        <v>391</v>
      </c>
    </row>
    <row r="1200" spans="1:5" x14ac:dyDescent="0.35">
      <c r="A1200" s="2">
        <v>45108</v>
      </c>
      <c r="B1200" t="s">
        <v>67</v>
      </c>
      <c r="C1200" t="s">
        <v>24</v>
      </c>
      <c r="D1200">
        <v>831</v>
      </c>
      <c r="E1200">
        <v>15285</v>
      </c>
    </row>
    <row r="1201" spans="1:5" x14ac:dyDescent="0.35">
      <c r="A1201" s="2">
        <v>45108</v>
      </c>
      <c r="B1201" t="s">
        <v>77</v>
      </c>
      <c r="C1201" t="s">
        <v>24</v>
      </c>
      <c r="D1201">
        <v>84</v>
      </c>
      <c r="E1201">
        <v>1739</v>
      </c>
    </row>
    <row r="1202" spans="1:5" x14ac:dyDescent="0.35">
      <c r="A1202" s="2">
        <v>45108</v>
      </c>
      <c r="B1202" t="s">
        <v>78</v>
      </c>
      <c r="C1202" t="s">
        <v>24</v>
      </c>
      <c r="D1202">
        <v>692</v>
      </c>
      <c r="E1202">
        <v>27755</v>
      </c>
    </row>
    <row r="1203" spans="1:5" x14ac:dyDescent="0.35">
      <c r="A1203" s="2">
        <v>45108</v>
      </c>
      <c r="B1203" t="s">
        <v>74</v>
      </c>
      <c r="C1203" t="s">
        <v>24</v>
      </c>
      <c r="D1203">
        <v>92</v>
      </c>
      <c r="E1203">
        <v>11915</v>
      </c>
    </row>
    <row r="1204" spans="1:5" x14ac:dyDescent="0.35">
      <c r="A1204" s="2">
        <v>45108</v>
      </c>
      <c r="B1204" t="s">
        <v>72</v>
      </c>
      <c r="C1204" t="s">
        <v>24</v>
      </c>
      <c r="D1204">
        <v>12</v>
      </c>
      <c r="E1204">
        <v>3956</v>
      </c>
    </row>
    <row r="1205" spans="1:5" x14ac:dyDescent="0.35">
      <c r="A1205" s="2">
        <v>45108</v>
      </c>
      <c r="B1205" t="s">
        <v>57</v>
      </c>
      <c r="C1205" t="s">
        <v>24</v>
      </c>
      <c r="D1205">
        <v>11</v>
      </c>
      <c r="E1205">
        <v>4435</v>
      </c>
    </row>
    <row r="1206" spans="1:5" x14ac:dyDescent="0.35">
      <c r="A1206" s="2">
        <v>45108</v>
      </c>
      <c r="B1206" t="s">
        <v>75</v>
      </c>
      <c r="C1206" t="s">
        <v>24</v>
      </c>
      <c r="D1206">
        <v>31</v>
      </c>
      <c r="E1206">
        <v>4010</v>
      </c>
    </row>
    <row r="1207" spans="1:5" x14ac:dyDescent="0.35">
      <c r="A1207" s="2">
        <v>45108</v>
      </c>
      <c r="B1207" t="s">
        <v>79</v>
      </c>
      <c r="C1207" t="s">
        <v>24</v>
      </c>
      <c r="D1207">
        <v>1221</v>
      </c>
      <c r="E1207">
        <v>23154</v>
      </c>
    </row>
    <row r="1208" spans="1:5" x14ac:dyDescent="0.35">
      <c r="A1208" s="2">
        <v>45108</v>
      </c>
      <c r="B1208" t="s">
        <v>80</v>
      </c>
      <c r="C1208" t="s">
        <v>24</v>
      </c>
      <c r="D1208">
        <v>871</v>
      </c>
      <c r="E1208">
        <v>14002</v>
      </c>
    </row>
    <row r="1209" spans="1:5" x14ac:dyDescent="0.35">
      <c r="A1209" s="2">
        <v>45108</v>
      </c>
      <c r="B1209" t="s">
        <v>68</v>
      </c>
      <c r="C1209" t="s">
        <v>24</v>
      </c>
      <c r="D1209">
        <v>138</v>
      </c>
      <c r="E1209">
        <v>10811</v>
      </c>
    </row>
    <row r="1210" spans="1:5" x14ac:dyDescent="0.35">
      <c r="A1210" s="2">
        <v>45108</v>
      </c>
      <c r="B1210" t="s">
        <v>81</v>
      </c>
      <c r="C1210" t="s">
        <v>24</v>
      </c>
      <c r="D1210">
        <v>1103</v>
      </c>
      <c r="E1210">
        <v>36082</v>
      </c>
    </row>
    <row r="1211" spans="1:5" x14ac:dyDescent="0.35">
      <c r="A1211" s="2">
        <v>45108</v>
      </c>
      <c r="B1211" t="s">
        <v>59</v>
      </c>
      <c r="C1211" t="s">
        <v>24</v>
      </c>
      <c r="D1211">
        <v>6</v>
      </c>
      <c r="E1211">
        <v>427</v>
      </c>
    </row>
    <row r="1212" spans="1:5" x14ac:dyDescent="0.35">
      <c r="A1212" s="2">
        <v>45108</v>
      </c>
      <c r="B1212" t="s">
        <v>60</v>
      </c>
      <c r="C1212" t="s">
        <v>24</v>
      </c>
      <c r="D1212">
        <v>3</v>
      </c>
      <c r="E1212">
        <v>1030</v>
      </c>
    </row>
    <row r="1213" spans="1:5" x14ac:dyDescent="0.35">
      <c r="A1213" s="2">
        <v>45108</v>
      </c>
      <c r="B1213" t="s">
        <v>69</v>
      </c>
      <c r="C1213" t="s">
        <v>24</v>
      </c>
      <c r="D1213">
        <v>134</v>
      </c>
      <c r="E1213">
        <v>5745</v>
      </c>
    </row>
    <row r="1214" spans="1:5" x14ac:dyDescent="0.35">
      <c r="A1214" s="2">
        <v>45108</v>
      </c>
      <c r="B1214" t="s">
        <v>63</v>
      </c>
      <c r="C1214" t="s">
        <v>24</v>
      </c>
      <c r="D1214">
        <v>7</v>
      </c>
      <c r="E1214">
        <v>809</v>
      </c>
    </row>
    <row r="1215" spans="1:5" x14ac:dyDescent="0.35">
      <c r="A1215" s="2">
        <v>45108</v>
      </c>
      <c r="B1215" t="s">
        <v>70</v>
      </c>
      <c r="C1215" t="s">
        <v>24</v>
      </c>
      <c r="D1215">
        <v>92</v>
      </c>
      <c r="E1215">
        <v>10766</v>
      </c>
    </row>
    <row r="1216" spans="1:5" x14ac:dyDescent="0.35">
      <c r="A1216" s="2">
        <v>45108</v>
      </c>
      <c r="B1216" t="s">
        <v>82</v>
      </c>
      <c r="C1216" t="s">
        <v>24</v>
      </c>
      <c r="D1216">
        <v>405</v>
      </c>
      <c r="E1216">
        <v>14064</v>
      </c>
    </row>
    <row r="1217" spans="1:5" x14ac:dyDescent="0.35">
      <c r="A1217" s="2">
        <v>45108</v>
      </c>
      <c r="B1217" t="s">
        <v>83</v>
      </c>
      <c r="C1217" t="s">
        <v>24</v>
      </c>
      <c r="D1217">
        <v>630</v>
      </c>
      <c r="E1217">
        <v>20553</v>
      </c>
    </row>
    <row r="1218" spans="1:5" x14ac:dyDescent="0.35">
      <c r="A1218" s="2">
        <v>45108</v>
      </c>
      <c r="B1218" t="s">
        <v>64</v>
      </c>
      <c r="C1218" t="s">
        <v>24</v>
      </c>
      <c r="D1218">
        <v>2</v>
      </c>
      <c r="E1218">
        <v>578</v>
      </c>
    </row>
    <row r="1219" spans="1:5" x14ac:dyDescent="0.35">
      <c r="A1219" s="2">
        <v>45108</v>
      </c>
      <c r="B1219" t="s">
        <v>84</v>
      </c>
      <c r="C1219" t="s">
        <v>24</v>
      </c>
      <c r="D1219">
        <v>420</v>
      </c>
      <c r="E1219">
        <v>29214</v>
      </c>
    </row>
    <row r="1220" spans="1:5" x14ac:dyDescent="0.35">
      <c r="A1220" s="2">
        <v>45108</v>
      </c>
      <c r="B1220" t="s">
        <v>71</v>
      </c>
      <c r="C1220" t="s">
        <v>24</v>
      </c>
      <c r="D1220">
        <v>53</v>
      </c>
      <c r="E1220">
        <v>4216</v>
      </c>
    </row>
    <row r="1221" spans="1:5" x14ac:dyDescent="0.35">
      <c r="A1221" s="2">
        <v>45108</v>
      </c>
      <c r="B1221" t="s">
        <v>85</v>
      </c>
      <c r="C1221" t="s">
        <v>24</v>
      </c>
      <c r="D1221">
        <v>179</v>
      </c>
      <c r="E1221">
        <v>8111</v>
      </c>
    </row>
    <row r="1222" spans="1:5" x14ac:dyDescent="0.35">
      <c r="A1222" s="2">
        <v>45139</v>
      </c>
      <c r="B1222" t="s">
        <v>52</v>
      </c>
      <c r="C1222" t="s">
        <v>24</v>
      </c>
      <c r="D1222">
        <v>3</v>
      </c>
      <c r="E1222">
        <v>183</v>
      </c>
    </row>
    <row r="1223" spans="1:5" x14ac:dyDescent="0.35">
      <c r="A1223" s="2">
        <v>45139</v>
      </c>
      <c r="B1223" t="s">
        <v>76</v>
      </c>
      <c r="C1223" t="s">
        <v>24</v>
      </c>
      <c r="D1223">
        <v>104</v>
      </c>
      <c r="E1223">
        <v>7397</v>
      </c>
    </row>
    <row r="1224" spans="1:5" x14ac:dyDescent="0.35">
      <c r="A1224" s="2">
        <v>45139</v>
      </c>
      <c r="B1224" t="s">
        <v>53</v>
      </c>
      <c r="C1224" t="s">
        <v>24</v>
      </c>
      <c r="D1224">
        <v>4</v>
      </c>
      <c r="E1224">
        <v>1121</v>
      </c>
    </row>
    <row r="1225" spans="1:5" x14ac:dyDescent="0.35">
      <c r="A1225" s="2">
        <v>45139</v>
      </c>
      <c r="B1225" t="s">
        <v>54</v>
      </c>
      <c r="C1225" t="s">
        <v>24</v>
      </c>
      <c r="D1225">
        <v>27</v>
      </c>
      <c r="E1225">
        <v>7557</v>
      </c>
    </row>
    <row r="1226" spans="1:5" x14ac:dyDescent="0.35">
      <c r="A1226" s="2">
        <v>45139</v>
      </c>
      <c r="B1226" t="s">
        <v>65</v>
      </c>
      <c r="C1226" t="s">
        <v>24</v>
      </c>
      <c r="D1226">
        <v>53</v>
      </c>
      <c r="E1226">
        <v>5334</v>
      </c>
    </row>
    <row r="1227" spans="1:5" x14ac:dyDescent="0.35">
      <c r="A1227" s="2">
        <v>45139</v>
      </c>
      <c r="B1227" t="s">
        <v>66</v>
      </c>
      <c r="C1227" t="s">
        <v>24</v>
      </c>
      <c r="D1227">
        <v>80</v>
      </c>
      <c r="E1227">
        <v>1937</v>
      </c>
    </row>
    <row r="1228" spans="1:5" x14ac:dyDescent="0.35">
      <c r="A1228" s="2">
        <v>45139</v>
      </c>
      <c r="B1228" t="s">
        <v>55</v>
      </c>
      <c r="C1228" t="s">
        <v>24</v>
      </c>
      <c r="D1228">
        <v>107</v>
      </c>
      <c r="E1228">
        <v>3859</v>
      </c>
    </row>
    <row r="1229" spans="1:5" x14ac:dyDescent="0.35">
      <c r="A1229" s="2">
        <v>45139</v>
      </c>
      <c r="B1229" t="s">
        <v>67</v>
      </c>
      <c r="C1229" t="s">
        <v>24</v>
      </c>
      <c r="D1229">
        <v>440</v>
      </c>
      <c r="E1229">
        <v>15852</v>
      </c>
    </row>
    <row r="1230" spans="1:5" x14ac:dyDescent="0.35">
      <c r="A1230" s="2">
        <v>45139</v>
      </c>
      <c r="B1230" t="s">
        <v>77</v>
      </c>
      <c r="C1230" t="s">
        <v>24</v>
      </c>
      <c r="D1230">
        <v>98</v>
      </c>
      <c r="E1230">
        <v>2177</v>
      </c>
    </row>
    <row r="1231" spans="1:5" x14ac:dyDescent="0.35">
      <c r="A1231" s="2">
        <v>45139</v>
      </c>
      <c r="B1231" t="s">
        <v>78</v>
      </c>
      <c r="C1231" t="s">
        <v>24</v>
      </c>
      <c r="D1231">
        <v>512</v>
      </c>
      <c r="E1231">
        <v>25572</v>
      </c>
    </row>
    <row r="1232" spans="1:5" x14ac:dyDescent="0.35">
      <c r="A1232" s="2">
        <v>45139</v>
      </c>
      <c r="B1232" t="s">
        <v>74</v>
      </c>
      <c r="C1232" t="s">
        <v>24</v>
      </c>
      <c r="D1232">
        <v>189</v>
      </c>
      <c r="E1232">
        <v>24414</v>
      </c>
    </row>
    <row r="1233" spans="1:5" x14ac:dyDescent="0.35">
      <c r="A1233" s="2">
        <v>45139</v>
      </c>
      <c r="B1233" t="s">
        <v>72</v>
      </c>
      <c r="C1233" t="s">
        <v>24</v>
      </c>
      <c r="D1233">
        <v>11</v>
      </c>
      <c r="E1233">
        <v>3975</v>
      </c>
    </row>
    <row r="1234" spans="1:5" x14ac:dyDescent="0.35">
      <c r="A1234" s="2">
        <v>45139</v>
      </c>
      <c r="B1234" t="s">
        <v>57</v>
      </c>
      <c r="C1234" t="s">
        <v>24</v>
      </c>
      <c r="D1234">
        <v>15</v>
      </c>
      <c r="E1234">
        <v>4843</v>
      </c>
    </row>
    <row r="1235" spans="1:5" x14ac:dyDescent="0.35">
      <c r="A1235" s="2">
        <v>45139</v>
      </c>
      <c r="B1235" t="s">
        <v>75</v>
      </c>
      <c r="C1235" t="s">
        <v>24</v>
      </c>
      <c r="D1235">
        <v>52</v>
      </c>
      <c r="E1235">
        <v>4040</v>
      </c>
    </row>
    <row r="1236" spans="1:5" x14ac:dyDescent="0.35">
      <c r="A1236" s="2">
        <v>45139</v>
      </c>
      <c r="B1236" t="s">
        <v>79</v>
      </c>
      <c r="C1236" t="s">
        <v>24</v>
      </c>
      <c r="D1236">
        <v>1196</v>
      </c>
      <c r="E1236">
        <v>28235</v>
      </c>
    </row>
    <row r="1237" spans="1:5" x14ac:dyDescent="0.35">
      <c r="A1237" s="2">
        <v>45139</v>
      </c>
      <c r="B1237" t="s">
        <v>80</v>
      </c>
      <c r="C1237" t="s">
        <v>24</v>
      </c>
      <c r="D1237">
        <v>736</v>
      </c>
      <c r="E1237">
        <v>18189</v>
      </c>
    </row>
    <row r="1238" spans="1:5" x14ac:dyDescent="0.35">
      <c r="A1238" s="2">
        <v>45139</v>
      </c>
      <c r="B1238" t="s">
        <v>68</v>
      </c>
      <c r="C1238" t="s">
        <v>24</v>
      </c>
      <c r="D1238">
        <v>112</v>
      </c>
      <c r="E1238">
        <v>11479</v>
      </c>
    </row>
    <row r="1239" spans="1:5" x14ac:dyDescent="0.35">
      <c r="A1239" s="2">
        <v>45139</v>
      </c>
      <c r="B1239" t="s">
        <v>81</v>
      </c>
      <c r="C1239" t="s">
        <v>24</v>
      </c>
      <c r="D1239">
        <v>1070</v>
      </c>
      <c r="E1239">
        <v>40169</v>
      </c>
    </row>
    <row r="1240" spans="1:5" x14ac:dyDescent="0.35">
      <c r="A1240" s="2">
        <v>45139</v>
      </c>
      <c r="B1240" t="s">
        <v>59</v>
      </c>
      <c r="C1240" t="s">
        <v>24</v>
      </c>
      <c r="D1240">
        <v>6</v>
      </c>
      <c r="E1240">
        <v>458</v>
      </c>
    </row>
    <row r="1241" spans="1:5" x14ac:dyDescent="0.35">
      <c r="A1241" s="2">
        <v>45139</v>
      </c>
      <c r="B1241" t="s">
        <v>60</v>
      </c>
      <c r="C1241" t="s">
        <v>24</v>
      </c>
      <c r="D1241">
        <v>3</v>
      </c>
      <c r="E1241">
        <v>1215</v>
      </c>
    </row>
    <row r="1242" spans="1:5" x14ac:dyDescent="0.35">
      <c r="A1242" s="2">
        <v>45139</v>
      </c>
      <c r="B1242" t="s">
        <v>69</v>
      </c>
      <c r="C1242" t="s">
        <v>24</v>
      </c>
      <c r="D1242">
        <v>146</v>
      </c>
      <c r="E1242">
        <v>6282</v>
      </c>
    </row>
    <row r="1243" spans="1:5" x14ac:dyDescent="0.35">
      <c r="A1243" s="2">
        <v>45139</v>
      </c>
      <c r="B1243" t="s">
        <v>63</v>
      </c>
      <c r="C1243" t="s">
        <v>24</v>
      </c>
      <c r="D1243">
        <v>14</v>
      </c>
      <c r="E1243">
        <v>955</v>
      </c>
    </row>
    <row r="1244" spans="1:5" x14ac:dyDescent="0.35">
      <c r="A1244" s="2">
        <v>45139</v>
      </c>
      <c r="B1244" t="s">
        <v>70</v>
      </c>
      <c r="C1244" t="s">
        <v>24</v>
      </c>
      <c r="D1244">
        <v>75</v>
      </c>
      <c r="E1244">
        <v>11493</v>
      </c>
    </row>
    <row r="1245" spans="1:5" x14ac:dyDescent="0.35">
      <c r="A1245" s="2">
        <v>45139</v>
      </c>
      <c r="B1245" t="s">
        <v>82</v>
      </c>
      <c r="C1245" t="s">
        <v>24</v>
      </c>
      <c r="D1245">
        <v>396</v>
      </c>
      <c r="E1245">
        <v>14786</v>
      </c>
    </row>
    <row r="1246" spans="1:5" x14ac:dyDescent="0.35">
      <c r="A1246" s="2">
        <v>45139</v>
      </c>
      <c r="B1246" t="s">
        <v>83</v>
      </c>
      <c r="C1246" t="s">
        <v>24</v>
      </c>
      <c r="D1246">
        <v>591</v>
      </c>
      <c r="E1246">
        <v>23537</v>
      </c>
    </row>
    <row r="1247" spans="1:5" x14ac:dyDescent="0.35">
      <c r="A1247" s="2">
        <v>45139</v>
      </c>
      <c r="B1247" t="s">
        <v>64</v>
      </c>
      <c r="C1247" t="s">
        <v>24</v>
      </c>
      <c r="D1247">
        <v>2</v>
      </c>
      <c r="E1247">
        <v>466</v>
      </c>
    </row>
    <row r="1248" spans="1:5" x14ac:dyDescent="0.35">
      <c r="A1248" s="2">
        <v>45139</v>
      </c>
      <c r="B1248" t="s">
        <v>84</v>
      </c>
      <c r="C1248" t="s">
        <v>24</v>
      </c>
      <c r="D1248">
        <v>482</v>
      </c>
      <c r="E1248">
        <v>29829</v>
      </c>
    </row>
    <row r="1249" spans="1:5" x14ac:dyDescent="0.35">
      <c r="A1249" s="2">
        <v>45139</v>
      </c>
      <c r="B1249" t="s">
        <v>71</v>
      </c>
      <c r="C1249" t="s">
        <v>24</v>
      </c>
      <c r="D1249">
        <v>50</v>
      </c>
      <c r="E1249">
        <v>4283</v>
      </c>
    </row>
    <row r="1250" spans="1:5" x14ac:dyDescent="0.35">
      <c r="A1250" s="2">
        <v>45139</v>
      </c>
      <c r="B1250" t="s">
        <v>85</v>
      </c>
      <c r="C1250" t="s">
        <v>24</v>
      </c>
      <c r="D1250">
        <v>178</v>
      </c>
      <c r="E1250">
        <v>9101</v>
      </c>
    </row>
    <row r="1251" spans="1:5" x14ac:dyDescent="0.35">
      <c r="A1251" s="2">
        <v>45170</v>
      </c>
      <c r="B1251" t="s">
        <v>76</v>
      </c>
      <c r="C1251" t="s">
        <v>24</v>
      </c>
      <c r="D1251">
        <v>59</v>
      </c>
      <c r="E1251">
        <v>7044</v>
      </c>
    </row>
    <row r="1252" spans="1:5" x14ac:dyDescent="0.35">
      <c r="A1252" s="2">
        <v>45170</v>
      </c>
      <c r="B1252" t="s">
        <v>53</v>
      </c>
      <c r="C1252" t="s">
        <v>24</v>
      </c>
      <c r="D1252">
        <v>4</v>
      </c>
      <c r="E1252">
        <v>1003</v>
      </c>
    </row>
    <row r="1253" spans="1:5" x14ac:dyDescent="0.35">
      <c r="A1253" s="2">
        <v>45170</v>
      </c>
      <c r="B1253" t="s">
        <v>54</v>
      </c>
      <c r="C1253" t="s">
        <v>24</v>
      </c>
      <c r="D1253">
        <v>23</v>
      </c>
      <c r="E1253">
        <v>8078</v>
      </c>
    </row>
    <row r="1254" spans="1:5" x14ac:dyDescent="0.35">
      <c r="A1254" s="2">
        <v>45170</v>
      </c>
      <c r="B1254" t="s">
        <v>65</v>
      </c>
      <c r="C1254" t="s">
        <v>24</v>
      </c>
      <c r="D1254">
        <v>60</v>
      </c>
      <c r="E1254">
        <v>5210</v>
      </c>
    </row>
    <row r="1255" spans="1:5" x14ac:dyDescent="0.35">
      <c r="A1255" s="2">
        <v>45170</v>
      </c>
      <c r="B1255" t="s">
        <v>66</v>
      </c>
      <c r="C1255" t="s">
        <v>24</v>
      </c>
      <c r="D1255">
        <v>54</v>
      </c>
      <c r="E1255">
        <v>1491</v>
      </c>
    </row>
    <row r="1256" spans="1:5" x14ac:dyDescent="0.35">
      <c r="A1256" s="2">
        <v>45170</v>
      </c>
      <c r="B1256" t="s">
        <v>55</v>
      </c>
      <c r="C1256" t="s">
        <v>24</v>
      </c>
      <c r="D1256">
        <v>83</v>
      </c>
      <c r="E1256">
        <v>3993</v>
      </c>
    </row>
    <row r="1257" spans="1:5" x14ac:dyDescent="0.35">
      <c r="A1257" s="2">
        <v>45170</v>
      </c>
      <c r="B1257" t="s">
        <v>56</v>
      </c>
      <c r="C1257" t="s">
        <v>24</v>
      </c>
      <c r="D1257">
        <v>6</v>
      </c>
      <c r="E1257">
        <v>468</v>
      </c>
    </row>
    <row r="1258" spans="1:5" x14ac:dyDescent="0.35">
      <c r="A1258" s="2">
        <v>45170</v>
      </c>
      <c r="B1258" t="s">
        <v>67</v>
      </c>
      <c r="C1258" t="s">
        <v>24</v>
      </c>
      <c r="D1258">
        <v>380</v>
      </c>
      <c r="E1258">
        <v>15776</v>
      </c>
    </row>
    <row r="1259" spans="1:5" x14ac:dyDescent="0.35">
      <c r="A1259" s="2">
        <v>45170</v>
      </c>
      <c r="B1259" t="s">
        <v>77</v>
      </c>
      <c r="C1259" t="s">
        <v>24</v>
      </c>
      <c r="D1259">
        <v>69</v>
      </c>
      <c r="E1259">
        <v>2801</v>
      </c>
    </row>
    <row r="1260" spans="1:5" x14ac:dyDescent="0.35">
      <c r="A1260" s="2">
        <v>45170</v>
      </c>
      <c r="B1260" t="s">
        <v>78</v>
      </c>
      <c r="C1260" t="s">
        <v>24</v>
      </c>
      <c r="D1260">
        <v>633</v>
      </c>
      <c r="E1260">
        <v>36818</v>
      </c>
    </row>
    <row r="1261" spans="1:5" x14ac:dyDescent="0.35">
      <c r="A1261" s="2">
        <v>45170</v>
      </c>
      <c r="B1261" t="s">
        <v>74</v>
      </c>
      <c r="C1261" t="s">
        <v>24</v>
      </c>
      <c r="D1261">
        <v>92</v>
      </c>
      <c r="E1261">
        <v>24045</v>
      </c>
    </row>
    <row r="1262" spans="1:5" x14ac:dyDescent="0.35">
      <c r="A1262" s="2">
        <v>45170</v>
      </c>
      <c r="B1262" t="s">
        <v>72</v>
      </c>
      <c r="C1262" t="s">
        <v>24</v>
      </c>
      <c r="D1262">
        <v>9</v>
      </c>
      <c r="E1262">
        <v>3683</v>
      </c>
    </row>
    <row r="1263" spans="1:5" x14ac:dyDescent="0.35">
      <c r="A1263" s="2">
        <v>45170</v>
      </c>
      <c r="B1263" t="s">
        <v>57</v>
      </c>
      <c r="C1263" t="s">
        <v>24</v>
      </c>
      <c r="D1263">
        <v>9</v>
      </c>
      <c r="E1263">
        <v>4430</v>
      </c>
    </row>
    <row r="1264" spans="1:5" x14ac:dyDescent="0.35">
      <c r="A1264" s="2">
        <v>45170</v>
      </c>
      <c r="B1264" t="s">
        <v>75</v>
      </c>
      <c r="C1264" t="s">
        <v>24</v>
      </c>
      <c r="D1264">
        <v>22</v>
      </c>
      <c r="E1264">
        <v>4600</v>
      </c>
    </row>
    <row r="1265" spans="1:5" x14ac:dyDescent="0.35">
      <c r="A1265" s="2">
        <v>45170</v>
      </c>
      <c r="B1265" t="s">
        <v>79</v>
      </c>
      <c r="C1265" t="s">
        <v>24</v>
      </c>
      <c r="D1265">
        <v>942</v>
      </c>
      <c r="E1265">
        <v>24184</v>
      </c>
    </row>
    <row r="1266" spans="1:5" x14ac:dyDescent="0.35">
      <c r="A1266" s="2">
        <v>45170</v>
      </c>
      <c r="B1266" t="s">
        <v>80</v>
      </c>
      <c r="C1266" t="s">
        <v>24</v>
      </c>
      <c r="D1266">
        <v>773</v>
      </c>
      <c r="E1266">
        <v>21467</v>
      </c>
    </row>
    <row r="1267" spans="1:5" x14ac:dyDescent="0.35">
      <c r="A1267" s="2">
        <v>45170</v>
      </c>
      <c r="B1267" t="s">
        <v>68</v>
      </c>
      <c r="C1267" t="s">
        <v>24</v>
      </c>
      <c r="D1267">
        <v>117</v>
      </c>
      <c r="E1267">
        <v>11748</v>
      </c>
    </row>
    <row r="1268" spans="1:5" x14ac:dyDescent="0.35">
      <c r="A1268" s="2">
        <v>45170</v>
      </c>
      <c r="B1268" t="s">
        <v>81</v>
      </c>
      <c r="C1268" t="s">
        <v>24</v>
      </c>
      <c r="D1268">
        <v>869</v>
      </c>
      <c r="E1268">
        <v>43063</v>
      </c>
    </row>
    <row r="1269" spans="1:5" x14ac:dyDescent="0.35">
      <c r="A1269" s="2">
        <v>45170</v>
      </c>
      <c r="B1269" t="s">
        <v>60</v>
      </c>
      <c r="C1269" t="s">
        <v>24</v>
      </c>
      <c r="D1269">
        <v>3</v>
      </c>
      <c r="E1269">
        <v>1139</v>
      </c>
    </row>
    <row r="1270" spans="1:5" x14ac:dyDescent="0.35">
      <c r="A1270" s="2">
        <v>45170</v>
      </c>
      <c r="B1270" t="s">
        <v>69</v>
      </c>
      <c r="C1270" t="s">
        <v>24</v>
      </c>
      <c r="D1270">
        <v>101</v>
      </c>
      <c r="E1270">
        <v>6354</v>
      </c>
    </row>
    <row r="1271" spans="1:5" x14ac:dyDescent="0.35">
      <c r="A1271" s="2">
        <v>45170</v>
      </c>
      <c r="B1271" t="s">
        <v>63</v>
      </c>
      <c r="C1271" t="s">
        <v>24</v>
      </c>
      <c r="D1271">
        <v>10</v>
      </c>
      <c r="E1271">
        <v>912</v>
      </c>
    </row>
    <row r="1272" spans="1:5" x14ac:dyDescent="0.35">
      <c r="A1272" s="2">
        <v>45170</v>
      </c>
      <c r="B1272" t="s">
        <v>70</v>
      </c>
      <c r="C1272" t="s">
        <v>24</v>
      </c>
      <c r="D1272">
        <v>83</v>
      </c>
      <c r="E1272">
        <v>12368</v>
      </c>
    </row>
    <row r="1273" spans="1:5" x14ac:dyDescent="0.35">
      <c r="A1273" s="2">
        <v>45170</v>
      </c>
      <c r="B1273" t="s">
        <v>82</v>
      </c>
      <c r="C1273" t="s">
        <v>24</v>
      </c>
      <c r="D1273">
        <v>375</v>
      </c>
      <c r="E1273">
        <v>16356</v>
      </c>
    </row>
    <row r="1274" spans="1:5" x14ac:dyDescent="0.35">
      <c r="A1274" s="2">
        <v>45170</v>
      </c>
      <c r="B1274" t="s">
        <v>83</v>
      </c>
      <c r="C1274" t="s">
        <v>24</v>
      </c>
      <c r="D1274">
        <v>543</v>
      </c>
      <c r="E1274">
        <v>22461</v>
      </c>
    </row>
    <row r="1275" spans="1:5" x14ac:dyDescent="0.35">
      <c r="A1275" s="2">
        <v>45170</v>
      </c>
      <c r="B1275" t="s">
        <v>64</v>
      </c>
      <c r="C1275" t="s">
        <v>24</v>
      </c>
      <c r="D1275">
        <v>3</v>
      </c>
      <c r="E1275">
        <v>470</v>
      </c>
    </row>
    <row r="1276" spans="1:5" x14ac:dyDescent="0.35">
      <c r="A1276" s="2">
        <v>45170</v>
      </c>
      <c r="B1276" t="s">
        <v>84</v>
      </c>
      <c r="C1276" t="s">
        <v>24</v>
      </c>
      <c r="D1276">
        <v>476</v>
      </c>
      <c r="E1276">
        <v>29087</v>
      </c>
    </row>
    <row r="1277" spans="1:5" x14ac:dyDescent="0.35">
      <c r="A1277" s="2">
        <v>45170</v>
      </c>
      <c r="B1277" t="s">
        <v>71</v>
      </c>
      <c r="C1277" t="s">
        <v>24</v>
      </c>
      <c r="D1277">
        <v>30</v>
      </c>
      <c r="E1277">
        <v>4234</v>
      </c>
    </row>
    <row r="1278" spans="1:5" x14ac:dyDescent="0.35">
      <c r="A1278" s="2">
        <v>45170</v>
      </c>
      <c r="B1278" t="s">
        <v>85</v>
      </c>
      <c r="C1278" t="s">
        <v>24</v>
      </c>
      <c r="D1278">
        <v>218</v>
      </c>
      <c r="E1278">
        <v>9011</v>
      </c>
    </row>
    <row r="1279" spans="1:5" x14ac:dyDescent="0.35">
      <c r="A1279" s="2">
        <v>45200</v>
      </c>
      <c r="B1279" t="s">
        <v>76</v>
      </c>
      <c r="C1279" t="s">
        <v>24</v>
      </c>
      <c r="D1279">
        <v>68</v>
      </c>
      <c r="E1279">
        <v>7743</v>
      </c>
    </row>
    <row r="1280" spans="1:5" x14ac:dyDescent="0.35">
      <c r="A1280" s="2">
        <v>45200</v>
      </c>
      <c r="B1280" t="s">
        <v>53</v>
      </c>
      <c r="C1280" t="s">
        <v>24</v>
      </c>
      <c r="D1280">
        <v>2</v>
      </c>
      <c r="E1280">
        <v>1111</v>
      </c>
    </row>
    <row r="1281" spans="1:5" x14ac:dyDescent="0.35">
      <c r="A1281" s="2">
        <v>45200</v>
      </c>
      <c r="B1281" t="s">
        <v>54</v>
      </c>
      <c r="C1281" t="s">
        <v>24</v>
      </c>
      <c r="D1281">
        <v>24</v>
      </c>
      <c r="E1281">
        <v>9481</v>
      </c>
    </row>
    <row r="1282" spans="1:5" x14ac:dyDescent="0.35">
      <c r="A1282" s="2">
        <v>45200</v>
      </c>
      <c r="B1282" t="s">
        <v>65</v>
      </c>
      <c r="C1282" t="s">
        <v>24</v>
      </c>
      <c r="D1282">
        <v>57</v>
      </c>
      <c r="E1282">
        <v>6068</v>
      </c>
    </row>
    <row r="1283" spans="1:5" x14ac:dyDescent="0.35">
      <c r="A1283" s="2">
        <v>45200</v>
      </c>
      <c r="B1283" t="s">
        <v>66</v>
      </c>
      <c r="C1283" t="s">
        <v>24</v>
      </c>
      <c r="D1283">
        <v>71</v>
      </c>
      <c r="E1283">
        <v>1722</v>
      </c>
    </row>
    <row r="1284" spans="1:5" x14ac:dyDescent="0.35">
      <c r="A1284" s="2">
        <v>45200</v>
      </c>
      <c r="B1284" t="s">
        <v>55</v>
      </c>
      <c r="C1284" t="s">
        <v>24</v>
      </c>
      <c r="D1284">
        <v>79</v>
      </c>
      <c r="E1284">
        <v>4920</v>
      </c>
    </row>
    <row r="1285" spans="1:5" x14ac:dyDescent="0.35">
      <c r="A1285" s="2">
        <v>45200</v>
      </c>
      <c r="B1285" t="s">
        <v>56</v>
      </c>
      <c r="C1285" t="s">
        <v>24</v>
      </c>
      <c r="D1285">
        <v>12</v>
      </c>
      <c r="E1285">
        <v>620</v>
      </c>
    </row>
    <row r="1286" spans="1:5" x14ac:dyDescent="0.35">
      <c r="A1286" s="2">
        <v>45200</v>
      </c>
      <c r="B1286" t="s">
        <v>67</v>
      </c>
      <c r="C1286" t="s">
        <v>24</v>
      </c>
      <c r="D1286">
        <v>519</v>
      </c>
      <c r="E1286">
        <v>16459</v>
      </c>
    </row>
    <row r="1287" spans="1:5" x14ac:dyDescent="0.35">
      <c r="A1287" s="2">
        <v>45200</v>
      </c>
      <c r="B1287" t="s">
        <v>77</v>
      </c>
      <c r="C1287" t="s">
        <v>24</v>
      </c>
      <c r="D1287">
        <v>87</v>
      </c>
      <c r="E1287">
        <v>2094</v>
      </c>
    </row>
    <row r="1288" spans="1:5" x14ac:dyDescent="0.35">
      <c r="A1288" s="2">
        <v>45200</v>
      </c>
      <c r="B1288" t="s">
        <v>78</v>
      </c>
      <c r="C1288" t="s">
        <v>24</v>
      </c>
      <c r="D1288">
        <v>670</v>
      </c>
      <c r="E1288">
        <v>42365</v>
      </c>
    </row>
    <row r="1289" spans="1:5" x14ac:dyDescent="0.35">
      <c r="A1289" s="2">
        <v>45200</v>
      </c>
      <c r="B1289" t="s">
        <v>74</v>
      </c>
      <c r="C1289" t="s">
        <v>24</v>
      </c>
      <c r="D1289">
        <v>220</v>
      </c>
      <c r="E1289">
        <v>20543</v>
      </c>
    </row>
    <row r="1290" spans="1:5" x14ac:dyDescent="0.35">
      <c r="A1290" s="2">
        <v>45200</v>
      </c>
      <c r="B1290" t="s">
        <v>72</v>
      </c>
      <c r="C1290" t="s">
        <v>24</v>
      </c>
      <c r="D1290">
        <v>7</v>
      </c>
      <c r="E1290">
        <v>3066</v>
      </c>
    </row>
    <row r="1291" spans="1:5" x14ac:dyDescent="0.35">
      <c r="A1291" s="2">
        <v>45200</v>
      </c>
      <c r="B1291" t="s">
        <v>57</v>
      </c>
      <c r="C1291" t="s">
        <v>24</v>
      </c>
      <c r="D1291">
        <v>10</v>
      </c>
      <c r="E1291">
        <v>4603</v>
      </c>
    </row>
    <row r="1292" spans="1:5" x14ac:dyDescent="0.35">
      <c r="A1292" s="2">
        <v>45200</v>
      </c>
      <c r="B1292" t="s">
        <v>75</v>
      </c>
      <c r="C1292" t="s">
        <v>24</v>
      </c>
      <c r="D1292">
        <v>30</v>
      </c>
      <c r="E1292">
        <v>4837</v>
      </c>
    </row>
    <row r="1293" spans="1:5" x14ac:dyDescent="0.35">
      <c r="A1293" s="2">
        <v>45200</v>
      </c>
      <c r="B1293" t="s">
        <v>79</v>
      </c>
      <c r="C1293" t="s">
        <v>24</v>
      </c>
      <c r="D1293">
        <v>1154</v>
      </c>
      <c r="E1293">
        <v>25652</v>
      </c>
    </row>
    <row r="1294" spans="1:5" x14ac:dyDescent="0.35">
      <c r="A1294" s="2">
        <v>45200</v>
      </c>
      <c r="B1294" t="s">
        <v>80</v>
      </c>
      <c r="C1294" t="s">
        <v>24</v>
      </c>
      <c r="D1294">
        <v>642</v>
      </c>
      <c r="E1294">
        <v>14522</v>
      </c>
    </row>
    <row r="1295" spans="1:5" x14ac:dyDescent="0.35">
      <c r="A1295" s="2">
        <v>45200</v>
      </c>
      <c r="B1295" t="s">
        <v>68</v>
      </c>
      <c r="C1295" t="s">
        <v>24</v>
      </c>
      <c r="D1295">
        <v>112</v>
      </c>
      <c r="E1295">
        <v>13646</v>
      </c>
    </row>
    <row r="1296" spans="1:5" x14ac:dyDescent="0.35">
      <c r="A1296" s="2">
        <v>45200</v>
      </c>
      <c r="B1296" t="s">
        <v>81</v>
      </c>
      <c r="C1296" t="s">
        <v>24</v>
      </c>
      <c r="D1296">
        <v>1404</v>
      </c>
      <c r="E1296">
        <v>47126</v>
      </c>
    </row>
    <row r="1297" spans="1:5" x14ac:dyDescent="0.35">
      <c r="A1297" s="2">
        <v>45200</v>
      </c>
      <c r="B1297" t="s">
        <v>59</v>
      </c>
      <c r="C1297" t="s">
        <v>24</v>
      </c>
      <c r="D1297">
        <v>2</v>
      </c>
      <c r="E1297">
        <v>272</v>
      </c>
    </row>
    <row r="1298" spans="1:5" x14ac:dyDescent="0.35">
      <c r="A1298" s="2">
        <v>45200</v>
      </c>
      <c r="B1298" t="s">
        <v>69</v>
      </c>
      <c r="C1298" t="s">
        <v>24</v>
      </c>
      <c r="D1298">
        <v>130</v>
      </c>
      <c r="E1298">
        <v>8500</v>
      </c>
    </row>
    <row r="1299" spans="1:5" x14ac:dyDescent="0.35">
      <c r="A1299" s="2">
        <v>45200</v>
      </c>
      <c r="B1299" t="s">
        <v>63</v>
      </c>
      <c r="C1299" t="s">
        <v>24</v>
      </c>
      <c r="D1299">
        <v>7</v>
      </c>
      <c r="E1299">
        <v>990</v>
      </c>
    </row>
    <row r="1300" spans="1:5" x14ac:dyDescent="0.35">
      <c r="A1300" s="2">
        <v>45200</v>
      </c>
      <c r="B1300" t="s">
        <v>70</v>
      </c>
      <c r="C1300" t="s">
        <v>24</v>
      </c>
      <c r="D1300">
        <v>94</v>
      </c>
      <c r="E1300">
        <v>11396</v>
      </c>
    </row>
    <row r="1301" spans="1:5" x14ac:dyDescent="0.35">
      <c r="A1301" s="2">
        <v>45200</v>
      </c>
      <c r="B1301" t="s">
        <v>82</v>
      </c>
      <c r="C1301" t="s">
        <v>24</v>
      </c>
      <c r="D1301">
        <v>464</v>
      </c>
      <c r="E1301">
        <v>18951</v>
      </c>
    </row>
    <row r="1302" spans="1:5" x14ac:dyDescent="0.35">
      <c r="A1302" s="2">
        <v>45200</v>
      </c>
      <c r="B1302" t="s">
        <v>83</v>
      </c>
      <c r="C1302" t="s">
        <v>24</v>
      </c>
      <c r="D1302">
        <v>556</v>
      </c>
      <c r="E1302">
        <v>28342</v>
      </c>
    </row>
    <row r="1303" spans="1:5" x14ac:dyDescent="0.35">
      <c r="A1303" s="2">
        <v>45200</v>
      </c>
      <c r="B1303" t="s">
        <v>64</v>
      </c>
      <c r="C1303" t="s">
        <v>24</v>
      </c>
      <c r="D1303">
        <v>3</v>
      </c>
      <c r="E1303">
        <v>497</v>
      </c>
    </row>
    <row r="1304" spans="1:5" x14ac:dyDescent="0.35">
      <c r="A1304" s="2">
        <v>45200</v>
      </c>
      <c r="B1304" t="s">
        <v>84</v>
      </c>
      <c r="C1304" t="s">
        <v>24</v>
      </c>
      <c r="D1304">
        <v>512</v>
      </c>
      <c r="E1304">
        <v>33774</v>
      </c>
    </row>
    <row r="1305" spans="1:5" x14ac:dyDescent="0.35">
      <c r="A1305" s="2">
        <v>45200</v>
      </c>
      <c r="B1305" t="s">
        <v>71</v>
      </c>
      <c r="C1305" t="s">
        <v>24</v>
      </c>
      <c r="D1305">
        <v>34</v>
      </c>
      <c r="E1305">
        <v>4562</v>
      </c>
    </row>
    <row r="1306" spans="1:5" x14ac:dyDescent="0.35">
      <c r="A1306" s="2">
        <v>45200</v>
      </c>
      <c r="B1306" t="s">
        <v>85</v>
      </c>
      <c r="C1306" t="s">
        <v>24</v>
      </c>
      <c r="D1306">
        <v>238</v>
      </c>
      <c r="E1306">
        <v>9972</v>
      </c>
    </row>
    <row r="1307" spans="1:5" x14ac:dyDescent="0.35">
      <c r="A1307" s="2">
        <v>45231</v>
      </c>
      <c r="B1307" t="s">
        <v>76</v>
      </c>
      <c r="C1307" t="s">
        <v>24</v>
      </c>
      <c r="D1307">
        <v>98</v>
      </c>
      <c r="E1307">
        <v>8220</v>
      </c>
    </row>
    <row r="1308" spans="1:5" x14ac:dyDescent="0.35">
      <c r="A1308" s="2">
        <v>45231</v>
      </c>
      <c r="B1308" t="s">
        <v>53</v>
      </c>
      <c r="C1308" t="s">
        <v>24</v>
      </c>
      <c r="D1308">
        <v>3</v>
      </c>
      <c r="E1308">
        <v>1226</v>
      </c>
    </row>
    <row r="1309" spans="1:5" x14ac:dyDescent="0.35">
      <c r="A1309" s="2">
        <v>45231</v>
      </c>
      <c r="B1309" t="s">
        <v>54</v>
      </c>
      <c r="C1309" t="s">
        <v>24</v>
      </c>
      <c r="D1309">
        <v>26</v>
      </c>
      <c r="E1309">
        <v>7960</v>
      </c>
    </row>
    <row r="1310" spans="1:5" x14ac:dyDescent="0.35">
      <c r="A1310" s="2">
        <v>45231</v>
      </c>
      <c r="B1310" t="s">
        <v>65</v>
      </c>
      <c r="C1310" t="s">
        <v>24</v>
      </c>
      <c r="D1310">
        <v>50</v>
      </c>
      <c r="E1310">
        <v>9075</v>
      </c>
    </row>
    <row r="1311" spans="1:5" x14ac:dyDescent="0.35">
      <c r="A1311" s="2">
        <v>45231</v>
      </c>
      <c r="B1311" t="s">
        <v>66</v>
      </c>
      <c r="C1311" t="s">
        <v>24</v>
      </c>
      <c r="D1311">
        <v>88</v>
      </c>
      <c r="E1311">
        <v>1805</v>
      </c>
    </row>
    <row r="1312" spans="1:5" x14ac:dyDescent="0.35">
      <c r="A1312" s="2">
        <v>45231</v>
      </c>
      <c r="B1312" t="s">
        <v>55</v>
      </c>
      <c r="C1312" t="s">
        <v>24</v>
      </c>
      <c r="D1312">
        <v>99</v>
      </c>
      <c r="E1312">
        <v>5877</v>
      </c>
    </row>
    <row r="1313" spans="1:5" x14ac:dyDescent="0.35">
      <c r="A1313" s="2">
        <v>45231</v>
      </c>
      <c r="B1313" t="s">
        <v>56</v>
      </c>
      <c r="C1313" t="s">
        <v>24</v>
      </c>
      <c r="D1313">
        <v>3</v>
      </c>
      <c r="E1313">
        <v>590</v>
      </c>
    </row>
    <row r="1314" spans="1:5" x14ac:dyDescent="0.35">
      <c r="A1314" s="2">
        <v>45231</v>
      </c>
      <c r="B1314" t="s">
        <v>67</v>
      </c>
      <c r="C1314" t="s">
        <v>24</v>
      </c>
      <c r="D1314">
        <v>538</v>
      </c>
      <c r="E1314">
        <v>18675</v>
      </c>
    </row>
    <row r="1315" spans="1:5" x14ac:dyDescent="0.35">
      <c r="A1315" s="2">
        <v>45231</v>
      </c>
      <c r="B1315" t="s">
        <v>77</v>
      </c>
      <c r="C1315" t="s">
        <v>24</v>
      </c>
      <c r="D1315">
        <v>97</v>
      </c>
      <c r="E1315">
        <v>2521</v>
      </c>
    </row>
    <row r="1316" spans="1:5" x14ac:dyDescent="0.35">
      <c r="A1316" s="2">
        <v>45231</v>
      </c>
      <c r="B1316" t="s">
        <v>78</v>
      </c>
      <c r="C1316" t="s">
        <v>24</v>
      </c>
      <c r="D1316">
        <v>592</v>
      </c>
      <c r="E1316">
        <v>32601</v>
      </c>
    </row>
    <row r="1317" spans="1:5" x14ac:dyDescent="0.35">
      <c r="A1317" s="2">
        <v>45231</v>
      </c>
      <c r="B1317" t="s">
        <v>74</v>
      </c>
      <c r="C1317" t="s">
        <v>24</v>
      </c>
      <c r="D1317">
        <v>215</v>
      </c>
      <c r="E1317">
        <v>22002</v>
      </c>
    </row>
    <row r="1318" spans="1:5" x14ac:dyDescent="0.35">
      <c r="A1318" s="2">
        <v>45231</v>
      </c>
      <c r="B1318" t="s">
        <v>72</v>
      </c>
      <c r="C1318" t="s">
        <v>24</v>
      </c>
      <c r="D1318">
        <v>15</v>
      </c>
      <c r="E1318">
        <v>4242</v>
      </c>
    </row>
    <row r="1319" spans="1:5" x14ac:dyDescent="0.35">
      <c r="A1319" s="2">
        <v>45231</v>
      </c>
      <c r="B1319" t="s">
        <v>57</v>
      </c>
      <c r="C1319" t="s">
        <v>24</v>
      </c>
      <c r="D1319">
        <v>18</v>
      </c>
      <c r="E1319">
        <v>4981</v>
      </c>
    </row>
    <row r="1320" spans="1:5" x14ac:dyDescent="0.35">
      <c r="A1320" s="2">
        <v>45231</v>
      </c>
      <c r="B1320" t="s">
        <v>75</v>
      </c>
      <c r="C1320" t="s">
        <v>24</v>
      </c>
      <c r="D1320">
        <v>40</v>
      </c>
      <c r="E1320">
        <v>6684</v>
      </c>
    </row>
    <row r="1321" spans="1:5" x14ac:dyDescent="0.35">
      <c r="A1321" s="2">
        <v>45231</v>
      </c>
      <c r="B1321" t="s">
        <v>79</v>
      </c>
      <c r="C1321" t="s">
        <v>24</v>
      </c>
      <c r="D1321">
        <v>822</v>
      </c>
      <c r="E1321">
        <v>26232</v>
      </c>
    </row>
    <row r="1322" spans="1:5" x14ac:dyDescent="0.35">
      <c r="A1322" s="2">
        <v>45231</v>
      </c>
      <c r="B1322" t="s">
        <v>80</v>
      </c>
      <c r="C1322" t="s">
        <v>24</v>
      </c>
      <c r="D1322">
        <v>641</v>
      </c>
      <c r="E1322">
        <v>12551</v>
      </c>
    </row>
    <row r="1323" spans="1:5" x14ac:dyDescent="0.35">
      <c r="A1323" s="2">
        <v>45231</v>
      </c>
      <c r="B1323" t="s">
        <v>68</v>
      </c>
      <c r="C1323" t="s">
        <v>24</v>
      </c>
      <c r="D1323">
        <v>137</v>
      </c>
      <c r="E1323">
        <v>17166</v>
      </c>
    </row>
    <row r="1324" spans="1:5" x14ac:dyDescent="0.35">
      <c r="A1324" s="2">
        <v>45231</v>
      </c>
      <c r="B1324" t="s">
        <v>81</v>
      </c>
      <c r="C1324" t="s">
        <v>24</v>
      </c>
      <c r="D1324">
        <v>1315</v>
      </c>
      <c r="E1324">
        <v>48131</v>
      </c>
    </row>
    <row r="1325" spans="1:5" x14ac:dyDescent="0.35">
      <c r="A1325" s="2">
        <v>45231</v>
      </c>
      <c r="B1325" t="s">
        <v>59</v>
      </c>
      <c r="C1325" t="s">
        <v>24</v>
      </c>
      <c r="D1325">
        <v>2</v>
      </c>
      <c r="E1325">
        <v>246</v>
      </c>
    </row>
    <row r="1326" spans="1:5" x14ac:dyDescent="0.35">
      <c r="A1326" s="2">
        <v>45231</v>
      </c>
      <c r="B1326" t="s">
        <v>60</v>
      </c>
      <c r="C1326" t="s">
        <v>24</v>
      </c>
      <c r="D1326">
        <v>2</v>
      </c>
      <c r="E1326">
        <v>1387</v>
      </c>
    </row>
    <row r="1327" spans="1:5" x14ac:dyDescent="0.35">
      <c r="A1327" s="2">
        <v>45231</v>
      </c>
      <c r="B1327" t="s">
        <v>69</v>
      </c>
      <c r="C1327" t="s">
        <v>24</v>
      </c>
      <c r="D1327">
        <v>177</v>
      </c>
      <c r="E1327">
        <v>7105</v>
      </c>
    </row>
    <row r="1328" spans="1:5" x14ac:dyDescent="0.35">
      <c r="A1328" s="2">
        <v>45231</v>
      </c>
      <c r="B1328" t="s">
        <v>63</v>
      </c>
      <c r="C1328" t="s">
        <v>24</v>
      </c>
      <c r="D1328">
        <v>11</v>
      </c>
      <c r="E1328">
        <v>990</v>
      </c>
    </row>
    <row r="1329" spans="1:5" x14ac:dyDescent="0.35">
      <c r="A1329" s="2">
        <v>45231</v>
      </c>
      <c r="B1329" t="s">
        <v>70</v>
      </c>
      <c r="C1329" t="s">
        <v>24</v>
      </c>
      <c r="D1329">
        <v>128</v>
      </c>
      <c r="E1329">
        <v>12992</v>
      </c>
    </row>
    <row r="1330" spans="1:5" x14ac:dyDescent="0.35">
      <c r="A1330" s="2">
        <v>45231</v>
      </c>
      <c r="B1330" t="s">
        <v>82</v>
      </c>
      <c r="C1330" t="s">
        <v>24</v>
      </c>
      <c r="D1330">
        <v>539</v>
      </c>
      <c r="E1330">
        <v>24386</v>
      </c>
    </row>
    <row r="1331" spans="1:5" x14ac:dyDescent="0.35">
      <c r="A1331" s="2">
        <v>45231</v>
      </c>
      <c r="B1331" t="s">
        <v>83</v>
      </c>
      <c r="C1331" t="s">
        <v>24</v>
      </c>
      <c r="D1331">
        <v>599</v>
      </c>
      <c r="E1331">
        <v>19015</v>
      </c>
    </row>
    <row r="1332" spans="1:5" x14ac:dyDescent="0.35">
      <c r="A1332" s="2">
        <v>45231</v>
      </c>
      <c r="B1332" t="s">
        <v>64</v>
      </c>
      <c r="C1332" t="s">
        <v>24</v>
      </c>
      <c r="D1332">
        <v>2</v>
      </c>
      <c r="E1332">
        <v>657</v>
      </c>
    </row>
    <row r="1333" spans="1:5" x14ac:dyDescent="0.35">
      <c r="A1333" s="2">
        <v>45231</v>
      </c>
      <c r="B1333" t="s">
        <v>84</v>
      </c>
      <c r="C1333" t="s">
        <v>24</v>
      </c>
      <c r="D1333">
        <v>446</v>
      </c>
      <c r="E1333">
        <v>42692</v>
      </c>
    </row>
    <row r="1334" spans="1:5" x14ac:dyDescent="0.35">
      <c r="A1334" s="2">
        <v>45231</v>
      </c>
      <c r="B1334" t="s">
        <v>71</v>
      </c>
      <c r="C1334" t="s">
        <v>24</v>
      </c>
      <c r="D1334">
        <v>47</v>
      </c>
      <c r="E1334">
        <v>5398</v>
      </c>
    </row>
    <row r="1335" spans="1:5" x14ac:dyDescent="0.35">
      <c r="A1335" s="2">
        <v>45231</v>
      </c>
      <c r="B1335" t="s">
        <v>85</v>
      </c>
      <c r="C1335" t="s">
        <v>24</v>
      </c>
      <c r="D1335">
        <v>290</v>
      </c>
      <c r="E1335">
        <v>9743</v>
      </c>
    </row>
    <row r="1336" spans="1:5" x14ac:dyDescent="0.35">
      <c r="A1336" s="2">
        <v>45261</v>
      </c>
      <c r="B1336" t="s">
        <v>52</v>
      </c>
      <c r="C1336" t="s">
        <v>24</v>
      </c>
      <c r="D1336">
        <v>2</v>
      </c>
      <c r="E1336">
        <v>175</v>
      </c>
    </row>
    <row r="1337" spans="1:5" x14ac:dyDescent="0.35">
      <c r="A1337" s="2">
        <v>45261</v>
      </c>
      <c r="B1337" t="s">
        <v>76</v>
      </c>
      <c r="C1337" t="s">
        <v>24</v>
      </c>
      <c r="D1337">
        <v>130</v>
      </c>
      <c r="E1337">
        <v>7155</v>
      </c>
    </row>
    <row r="1338" spans="1:5" x14ac:dyDescent="0.35">
      <c r="A1338" s="2">
        <v>45261</v>
      </c>
      <c r="B1338" t="s">
        <v>53</v>
      </c>
      <c r="C1338" t="s">
        <v>24</v>
      </c>
      <c r="D1338">
        <v>2</v>
      </c>
      <c r="E1338">
        <v>1137</v>
      </c>
    </row>
    <row r="1339" spans="1:5" x14ac:dyDescent="0.35">
      <c r="A1339" s="2">
        <v>45261</v>
      </c>
      <c r="B1339" t="s">
        <v>54</v>
      </c>
      <c r="C1339" t="s">
        <v>24</v>
      </c>
      <c r="D1339">
        <v>30</v>
      </c>
      <c r="E1339">
        <v>8111</v>
      </c>
    </row>
    <row r="1340" spans="1:5" x14ac:dyDescent="0.35">
      <c r="A1340" s="2">
        <v>45261</v>
      </c>
      <c r="B1340" t="s">
        <v>65</v>
      </c>
      <c r="C1340" t="s">
        <v>24</v>
      </c>
      <c r="D1340">
        <v>59</v>
      </c>
      <c r="E1340">
        <v>4788</v>
      </c>
    </row>
    <row r="1341" spans="1:5" x14ac:dyDescent="0.35">
      <c r="A1341" s="2">
        <v>45261</v>
      </c>
      <c r="B1341" t="s">
        <v>66</v>
      </c>
      <c r="C1341" t="s">
        <v>24</v>
      </c>
      <c r="D1341">
        <v>130</v>
      </c>
      <c r="E1341">
        <v>1496</v>
      </c>
    </row>
    <row r="1342" spans="1:5" x14ac:dyDescent="0.35">
      <c r="A1342" s="2">
        <v>45261</v>
      </c>
      <c r="B1342" t="s">
        <v>55</v>
      </c>
      <c r="C1342" t="s">
        <v>24</v>
      </c>
      <c r="D1342">
        <v>93</v>
      </c>
      <c r="E1342">
        <v>3575</v>
      </c>
    </row>
    <row r="1343" spans="1:5" x14ac:dyDescent="0.35">
      <c r="A1343" s="2">
        <v>45261</v>
      </c>
      <c r="B1343" t="s">
        <v>56</v>
      </c>
      <c r="C1343" t="s">
        <v>24</v>
      </c>
      <c r="D1343">
        <v>5</v>
      </c>
      <c r="E1343">
        <v>488</v>
      </c>
    </row>
    <row r="1344" spans="1:5" x14ac:dyDescent="0.35">
      <c r="A1344" s="2">
        <v>45261</v>
      </c>
      <c r="B1344" t="s">
        <v>67</v>
      </c>
      <c r="C1344" t="s">
        <v>24</v>
      </c>
      <c r="D1344">
        <v>811</v>
      </c>
      <c r="E1344">
        <v>16567</v>
      </c>
    </row>
    <row r="1345" spans="1:5" x14ac:dyDescent="0.35">
      <c r="A1345" s="2">
        <v>45261</v>
      </c>
      <c r="B1345" t="s">
        <v>77</v>
      </c>
      <c r="C1345" t="s">
        <v>24</v>
      </c>
      <c r="D1345">
        <v>71</v>
      </c>
      <c r="E1345">
        <v>1859</v>
      </c>
    </row>
    <row r="1346" spans="1:5" x14ac:dyDescent="0.35">
      <c r="A1346" s="2">
        <v>45261</v>
      </c>
      <c r="B1346" t="s">
        <v>78</v>
      </c>
      <c r="C1346" t="s">
        <v>24</v>
      </c>
      <c r="D1346">
        <v>548</v>
      </c>
      <c r="E1346">
        <v>26023</v>
      </c>
    </row>
    <row r="1347" spans="1:5" x14ac:dyDescent="0.35">
      <c r="A1347" s="2">
        <v>45261</v>
      </c>
      <c r="B1347" t="s">
        <v>74</v>
      </c>
      <c r="C1347" t="s">
        <v>24</v>
      </c>
      <c r="D1347">
        <v>218</v>
      </c>
      <c r="E1347">
        <v>23698</v>
      </c>
    </row>
    <row r="1348" spans="1:5" x14ac:dyDescent="0.35">
      <c r="A1348" s="2">
        <v>45261</v>
      </c>
      <c r="B1348" t="s">
        <v>72</v>
      </c>
      <c r="C1348" t="s">
        <v>24</v>
      </c>
      <c r="D1348">
        <v>16</v>
      </c>
      <c r="E1348">
        <v>5710</v>
      </c>
    </row>
    <row r="1349" spans="1:5" x14ac:dyDescent="0.35">
      <c r="A1349" s="2">
        <v>45261</v>
      </c>
      <c r="B1349" t="s">
        <v>57</v>
      </c>
      <c r="C1349" t="s">
        <v>24</v>
      </c>
      <c r="D1349">
        <v>15</v>
      </c>
      <c r="E1349">
        <v>4531</v>
      </c>
    </row>
    <row r="1350" spans="1:5" x14ac:dyDescent="0.35">
      <c r="A1350" s="2">
        <v>45261</v>
      </c>
      <c r="B1350" t="s">
        <v>75</v>
      </c>
      <c r="C1350" t="s">
        <v>24</v>
      </c>
      <c r="D1350">
        <v>27</v>
      </c>
      <c r="E1350">
        <v>4375</v>
      </c>
    </row>
    <row r="1351" spans="1:5" x14ac:dyDescent="0.35">
      <c r="A1351" s="2">
        <v>45261</v>
      </c>
      <c r="B1351" t="s">
        <v>79</v>
      </c>
      <c r="C1351" t="s">
        <v>24</v>
      </c>
      <c r="D1351">
        <v>1155</v>
      </c>
      <c r="E1351">
        <v>22859</v>
      </c>
    </row>
    <row r="1352" spans="1:5" x14ac:dyDescent="0.35">
      <c r="A1352" s="2">
        <v>45261</v>
      </c>
      <c r="B1352" t="s">
        <v>80</v>
      </c>
      <c r="C1352" t="s">
        <v>24</v>
      </c>
      <c r="D1352">
        <v>736</v>
      </c>
      <c r="E1352">
        <v>13811</v>
      </c>
    </row>
    <row r="1353" spans="1:5" x14ac:dyDescent="0.35">
      <c r="A1353" s="2">
        <v>45261</v>
      </c>
      <c r="B1353" t="s">
        <v>68</v>
      </c>
      <c r="C1353" t="s">
        <v>24</v>
      </c>
      <c r="D1353">
        <v>134</v>
      </c>
      <c r="E1353">
        <v>9736</v>
      </c>
    </row>
    <row r="1354" spans="1:5" x14ac:dyDescent="0.35">
      <c r="A1354" s="2">
        <v>45261</v>
      </c>
      <c r="B1354" t="s">
        <v>81</v>
      </c>
      <c r="C1354" t="s">
        <v>24</v>
      </c>
      <c r="D1354">
        <v>1125</v>
      </c>
      <c r="E1354">
        <v>32212</v>
      </c>
    </row>
    <row r="1355" spans="1:5" x14ac:dyDescent="0.35">
      <c r="A1355" s="2">
        <v>45261</v>
      </c>
      <c r="B1355" t="s">
        <v>59</v>
      </c>
      <c r="C1355" t="s">
        <v>24</v>
      </c>
      <c r="D1355">
        <v>2</v>
      </c>
      <c r="E1355">
        <v>206</v>
      </c>
    </row>
    <row r="1356" spans="1:5" x14ac:dyDescent="0.35">
      <c r="A1356" s="2">
        <v>45261</v>
      </c>
      <c r="B1356" t="s">
        <v>69</v>
      </c>
      <c r="C1356" t="s">
        <v>24</v>
      </c>
      <c r="D1356">
        <v>186</v>
      </c>
      <c r="E1356">
        <v>7280</v>
      </c>
    </row>
    <row r="1357" spans="1:5" x14ac:dyDescent="0.35">
      <c r="A1357" s="2">
        <v>45261</v>
      </c>
      <c r="B1357" t="s">
        <v>63</v>
      </c>
      <c r="C1357" t="s">
        <v>24</v>
      </c>
      <c r="D1357">
        <v>12</v>
      </c>
      <c r="E1357">
        <v>860</v>
      </c>
    </row>
    <row r="1358" spans="1:5" x14ac:dyDescent="0.35">
      <c r="A1358" s="2">
        <v>45261</v>
      </c>
      <c r="B1358" t="s">
        <v>70</v>
      </c>
      <c r="C1358" t="s">
        <v>24</v>
      </c>
      <c r="D1358">
        <v>116</v>
      </c>
      <c r="E1358">
        <v>13632</v>
      </c>
    </row>
    <row r="1359" spans="1:5" x14ac:dyDescent="0.35">
      <c r="A1359" s="2">
        <v>45261</v>
      </c>
      <c r="B1359" t="s">
        <v>82</v>
      </c>
      <c r="C1359" t="s">
        <v>24</v>
      </c>
      <c r="D1359">
        <v>348</v>
      </c>
      <c r="E1359">
        <v>13082</v>
      </c>
    </row>
    <row r="1360" spans="1:5" x14ac:dyDescent="0.35">
      <c r="A1360" s="2">
        <v>45261</v>
      </c>
      <c r="B1360" t="s">
        <v>83</v>
      </c>
      <c r="C1360" t="s">
        <v>24</v>
      </c>
      <c r="D1360">
        <v>520</v>
      </c>
      <c r="E1360">
        <v>19246</v>
      </c>
    </row>
    <row r="1361" spans="1:5" x14ac:dyDescent="0.35">
      <c r="A1361" s="2">
        <v>45261</v>
      </c>
      <c r="B1361" t="s">
        <v>64</v>
      </c>
      <c r="C1361" t="s">
        <v>24</v>
      </c>
      <c r="D1361">
        <v>4</v>
      </c>
      <c r="E1361">
        <v>489</v>
      </c>
    </row>
    <row r="1362" spans="1:5" x14ac:dyDescent="0.35">
      <c r="A1362" s="2">
        <v>45261</v>
      </c>
      <c r="B1362" t="s">
        <v>84</v>
      </c>
      <c r="C1362" t="s">
        <v>24</v>
      </c>
      <c r="D1362">
        <v>498</v>
      </c>
      <c r="E1362">
        <v>29434</v>
      </c>
    </row>
    <row r="1363" spans="1:5" x14ac:dyDescent="0.35">
      <c r="A1363" s="2">
        <v>45261</v>
      </c>
      <c r="B1363" t="s">
        <v>71</v>
      </c>
      <c r="C1363" t="s">
        <v>24</v>
      </c>
      <c r="D1363">
        <v>37</v>
      </c>
      <c r="E1363">
        <v>5430</v>
      </c>
    </row>
    <row r="1364" spans="1:5" x14ac:dyDescent="0.35">
      <c r="A1364" s="2">
        <v>45261</v>
      </c>
      <c r="B1364" t="s">
        <v>85</v>
      </c>
      <c r="C1364" t="s">
        <v>24</v>
      </c>
      <c r="D1364">
        <v>160</v>
      </c>
      <c r="E1364">
        <v>8435</v>
      </c>
    </row>
    <row r="1365" spans="1:5" x14ac:dyDescent="0.35">
      <c r="A1365" s="2">
        <v>45292</v>
      </c>
      <c r="B1365" t="s">
        <v>84</v>
      </c>
      <c r="C1365" t="s">
        <v>24</v>
      </c>
      <c r="D1365">
        <v>399</v>
      </c>
      <c r="E1365">
        <v>44334</v>
      </c>
    </row>
    <row r="1366" spans="1:5" x14ac:dyDescent="0.35">
      <c r="A1366" s="2">
        <v>45292</v>
      </c>
      <c r="B1366" t="s">
        <v>81</v>
      </c>
      <c r="C1366" t="s">
        <v>24</v>
      </c>
      <c r="D1366">
        <v>1289</v>
      </c>
      <c r="E1366">
        <v>50156</v>
      </c>
    </row>
    <row r="1367" spans="1:5" x14ac:dyDescent="0.35">
      <c r="A1367" s="2">
        <v>45292</v>
      </c>
      <c r="B1367" t="s">
        <v>79</v>
      </c>
      <c r="C1367" t="s">
        <v>24</v>
      </c>
      <c r="D1367">
        <v>1080</v>
      </c>
      <c r="E1367">
        <v>30770</v>
      </c>
    </row>
    <row r="1368" spans="1:5" x14ac:dyDescent="0.35">
      <c r="A1368" s="2">
        <v>45292</v>
      </c>
      <c r="B1368" t="s">
        <v>83</v>
      </c>
      <c r="C1368" t="s">
        <v>24</v>
      </c>
      <c r="D1368">
        <v>626</v>
      </c>
      <c r="E1368">
        <v>28455</v>
      </c>
    </row>
    <row r="1369" spans="1:5" x14ac:dyDescent="0.35">
      <c r="A1369" s="2">
        <v>45292</v>
      </c>
      <c r="B1369" t="s">
        <v>65</v>
      </c>
      <c r="C1369" t="s">
        <v>24</v>
      </c>
      <c r="D1369">
        <v>58</v>
      </c>
      <c r="E1369">
        <v>6824</v>
      </c>
    </row>
    <row r="1370" spans="1:5" x14ac:dyDescent="0.35">
      <c r="A1370" s="2">
        <v>45292</v>
      </c>
      <c r="B1370" t="s">
        <v>80</v>
      </c>
      <c r="C1370" t="s">
        <v>24</v>
      </c>
      <c r="D1370">
        <v>734</v>
      </c>
      <c r="E1370">
        <v>164</v>
      </c>
    </row>
    <row r="1371" spans="1:5" x14ac:dyDescent="0.35">
      <c r="A1371" s="2">
        <v>45292</v>
      </c>
      <c r="B1371" t="s">
        <v>82</v>
      </c>
      <c r="C1371" t="s">
        <v>24</v>
      </c>
      <c r="D1371">
        <v>498</v>
      </c>
      <c r="E1371">
        <v>21747</v>
      </c>
    </row>
    <row r="1372" spans="1:5" x14ac:dyDescent="0.35">
      <c r="A1372" s="2">
        <v>45292</v>
      </c>
      <c r="B1372" t="s">
        <v>67</v>
      </c>
      <c r="C1372" t="s">
        <v>24</v>
      </c>
      <c r="D1372">
        <v>1345</v>
      </c>
      <c r="E1372">
        <v>21520</v>
      </c>
    </row>
    <row r="1373" spans="1:5" x14ac:dyDescent="0.35">
      <c r="A1373" s="2">
        <v>45292</v>
      </c>
      <c r="B1373" t="s">
        <v>68</v>
      </c>
      <c r="C1373" t="s">
        <v>24</v>
      </c>
      <c r="D1373">
        <v>172</v>
      </c>
      <c r="E1373">
        <v>19326</v>
      </c>
    </row>
    <row r="1374" spans="1:5" x14ac:dyDescent="0.35">
      <c r="A1374" s="2">
        <v>45292</v>
      </c>
      <c r="B1374" t="s">
        <v>78</v>
      </c>
      <c r="C1374" t="s">
        <v>24</v>
      </c>
      <c r="D1374">
        <v>494</v>
      </c>
      <c r="E1374">
        <v>33379</v>
      </c>
    </row>
    <row r="1375" spans="1:5" x14ac:dyDescent="0.35">
      <c r="A1375" s="2">
        <v>45292</v>
      </c>
      <c r="B1375" t="s">
        <v>69</v>
      </c>
      <c r="C1375" t="s">
        <v>24</v>
      </c>
      <c r="D1375">
        <v>150</v>
      </c>
      <c r="E1375">
        <v>7500</v>
      </c>
    </row>
    <row r="1376" spans="1:5" x14ac:dyDescent="0.35">
      <c r="A1376" s="2">
        <v>45292</v>
      </c>
      <c r="B1376" t="s">
        <v>54</v>
      </c>
      <c r="C1376" t="s">
        <v>24</v>
      </c>
      <c r="D1376">
        <v>21</v>
      </c>
      <c r="E1376">
        <v>7242</v>
      </c>
    </row>
    <row r="1377" spans="1:5" x14ac:dyDescent="0.35">
      <c r="A1377" s="2">
        <v>45292</v>
      </c>
      <c r="B1377" t="s">
        <v>74</v>
      </c>
      <c r="C1377" t="s">
        <v>24</v>
      </c>
      <c r="D1377">
        <v>282</v>
      </c>
      <c r="E1377">
        <v>28776</v>
      </c>
    </row>
    <row r="1378" spans="1:5" x14ac:dyDescent="0.35">
      <c r="A1378" s="2">
        <v>45292</v>
      </c>
      <c r="B1378" t="s">
        <v>55</v>
      </c>
      <c r="C1378" t="s">
        <v>24</v>
      </c>
      <c r="D1378">
        <v>91</v>
      </c>
      <c r="E1378">
        <v>4946</v>
      </c>
    </row>
    <row r="1379" spans="1:5" x14ac:dyDescent="0.35">
      <c r="A1379" s="2">
        <v>45292</v>
      </c>
      <c r="B1379" t="s">
        <v>85</v>
      </c>
      <c r="C1379" t="s">
        <v>24</v>
      </c>
      <c r="D1379">
        <v>184</v>
      </c>
      <c r="E1379">
        <v>10223</v>
      </c>
    </row>
    <row r="1380" spans="1:5" x14ac:dyDescent="0.35">
      <c r="A1380" s="2">
        <v>45292</v>
      </c>
      <c r="B1380" t="s">
        <v>70</v>
      </c>
      <c r="C1380" t="s">
        <v>24</v>
      </c>
      <c r="D1380">
        <v>105</v>
      </c>
      <c r="E1380">
        <v>15000</v>
      </c>
    </row>
    <row r="1381" spans="1:5" x14ac:dyDescent="0.35">
      <c r="A1381" s="2">
        <v>45292</v>
      </c>
      <c r="B1381" t="s">
        <v>76</v>
      </c>
      <c r="C1381" t="s">
        <v>24</v>
      </c>
      <c r="D1381">
        <v>123</v>
      </c>
      <c r="E1381">
        <v>8483</v>
      </c>
    </row>
    <row r="1382" spans="1:5" x14ac:dyDescent="0.35">
      <c r="A1382" s="2">
        <v>45292</v>
      </c>
      <c r="B1382" t="s">
        <v>75</v>
      </c>
      <c r="C1382" t="s">
        <v>24</v>
      </c>
      <c r="D1382">
        <v>29</v>
      </c>
      <c r="E1382">
        <v>4678</v>
      </c>
    </row>
    <row r="1383" spans="1:5" x14ac:dyDescent="0.35">
      <c r="A1383" s="2">
        <v>45292</v>
      </c>
      <c r="B1383" t="s">
        <v>71</v>
      </c>
      <c r="C1383" t="s">
        <v>24</v>
      </c>
      <c r="D1383">
        <v>49</v>
      </c>
      <c r="E1383">
        <v>5385</v>
      </c>
    </row>
    <row r="1384" spans="1:5" x14ac:dyDescent="0.35">
      <c r="A1384" s="2">
        <v>45292</v>
      </c>
      <c r="B1384" t="s">
        <v>57</v>
      </c>
      <c r="C1384" t="s">
        <v>24</v>
      </c>
      <c r="D1384">
        <v>10</v>
      </c>
      <c r="E1384">
        <v>5264</v>
      </c>
    </row>
    <row r="1385" spans="1:5" x14ac:dyDescent="0.35">
      <c r="A1385" s="2">
        <v>45292</v>
      </c>
      <c r="B1385" t="s">
        <v>77</v>
      </c>
      <c r="C1385" t="s">
        <v>24</v>
      </c>
      <c r="D1385">
        <v>86</v>
      </c>
      <c r="E1385">
        <v>2331</v>
      </c>
    </row>
    <row r="1386" spans="1:5" x14ac:dyDescent="0.35">
      <c r="A1386" s="2">
        <v>45292</v>
      </c>
      <c r="B1386" t="s">
        <v>66</v>
      </c>
      <c r="C1386" t="s">
        <v>24</v>
      </c>
      <c r="D1386">
        <v>101</v>
      </c>
      <c r="E1386">
        <v>1624</v>
      </c>
    </row>
    <row r="1387" spans="1:5" x14ac:dyDescent="0.35">
      <c r="A1387" s="2">
        <v>45292</v>
      </c>
      <c r="B1387" t="s">
        <v>64</v>
      </c>
      <c r="C1387" t="s">
        <v>24</v>
      </c>
      <c r="D1387">
        <v>2</v>
      </c>
      <c r="E1387">
        <v>466</v>
      </c>
    </row>
    <row r="1388" spans="1:5" x14ac:dyDescent="0.35">
      <c r="A1388" s="2">
        <v>45292</v>
      </c>
      <c r="B1388" t="s">
        <v>63</v>
      </c>
      <c r="C1388" t="s">
        <v>24</v>
      </c>
      <c r="D1388">
        <v>10</v>
      </c>
      <c r="E1388">
        <v>1250</v>
      </c>
    </row>
    <row r="1389" spans="1:5" x14ac:dyDescent="0.35">
      <c r="A1389" s="2">
        <v>45292</v>
      </c>
      <c r="B1389" t="s">
        <v>72</v>
      </c>
      <c r="C1389" t="s">
        <v>24</v>
      </c>
      <c r="D1389">
        <v>13</v>
      </c>
      <c r="E1389">
        <v>4815</v>
      </c>
    </row>
    <row r="1390" spans="1:5" x14ac:dyDescent="0.35">
      <c r="A1390" s="2">
        <v>45292</v>
      </c>
      <c r="B1390" t="s">
        <v>56</v>
      </c>
      <c r="C1390" t="s">
        <v>24</v>
      </c>
      <c r="D1390">
        <v>3</v>
      </c>
      <c r="E1390">
        <v>527</v>
      </c>
    </row>
    <row r="1391" spans="1:5" x14ac:dyDescent="0.35">
      <c r="A1391" s="2">
        <v>45292</v>
      </c>
      <c r="B1391" t="s">
        <v>59</v>
      </c>
      <c r="C1391" t="s">
        <v>24</v>
      </c>
      <c r="D1391">
        <v>7</v>
      </c>
      <c r="E1391">
        <v>433</v>
      </c>
    </row>
    <row r="1392" spans="1:5" x14ac:dyDescent="0.35">
      <c r="A1392" s="2">
        <v>45292</v>
      </c>
      <c r="B1392" t="s">
        <v>53</v>
      </c>
      <c r="C1392" t="s">
        <v>24</v>
      </c>
      <c r="D1392">
        <v>5</v>
      </c>
      <c r="E1392">
        <v>1174</v>
      </c>
    </row>
    <row r="1393" spans="1:5" x14ac:dyDescent="0.35">
      <c r="A1393" s="2">
        <v>45323</v>
      </c>
      <c r="B1393" t="s">
        <v>84</v>
      </c>
      <c r="C1393" t="s">
        <v>24</v>
      </c>
      <c r="D1393">
        <v>394</v>
      </c>
      <c r="E1393">
        <v>37170</v>
      </c>
    </row>
    <row r="1394" spans="1:5" x14ac:dyDescent="0.35">
      <c r="A1394" s="2">
        <v>45323</v>
      </c>
      <c r="B1394" t="s">
        <v>81</v>
      </c>
      <c r="C1394" t="s">
        <v>24</v>
      </c>
      <c r="D1394">
        <v>1227</v>
      </c>
      <c r="E1394">
        <v>36302</v>
      </c>
    </row>
    <row r="1395" spans="1:5" x14ac:dyDescent="0.35">
      <c r="A1395" s="2">
        <v>45323</v>
      </c>
      <c r="B1395" t="s">
        <v>79</v>
      </c>
      <c r="C1395" t="s">
        <v>24</v>
      </c>
      <c r="D1395">
        <v>923</v>
      </c>
      <c r="E1395">
        <v>24812</v>
      </c>
    </row>
    <row r="1396" spans="1:5" x14ac:dyDescent="0.35">
      <c r="A1396" s="2">
        <v>45323</v>
      </c>
      <c r="B1396" t="s">
        <v>83</v>
      </c>
      <c r="C1396" t="s">
        <v>24</v>
      </c>
      <c r="D1396">
        <v>595</v>
      </c>
      <c r="E1396">
        <v>23063</v>
      </c>
    </row>
    <row r="1397" spans="1:5" x14ac:dyDescent="0.35">
      <c r="A1397" s="2">
        <v>45323</v>
      </c>
      <c r="B1397" t="s">
        <v>82</v>
      </c>
      <c r="C1397" t="s">
        <v>24</v>
      </c>
      <c r="D1397">
        <v>517</v>
      </c>
      <c r="E1397">
        <v>19149</v>
      </c>
    </row>
    <row r="1398" spans="1:5" x14ac:dyDescent="0.35">
      <c r="A1398" s="2">
        <v>45323</v>
      </c>
      <c r="B1398" t="s">
        <v>65</v>
      </c>
      <c r="C1398" t="s">
        <v>24</v>
      </c>
      <c r="D1398">
        <v>71</v>
      </c>
      <c r="E1398">
        <v>6762</v>
      </c>
    </row>
    <row r="1399" spans="1:5" x14ac:dyDescent="0.35">
      <c r="A1399" s="2">
        <v>45323</v>
      </c>
      <c r="B1399" t="s">
        <v>68</v>
      </c>
      <c r="C1399" t="s">
        <v>24</v>
      </c>
      <c r="D1399">
        <v>146</v>
      </c>
      <c r="E1399">
        <v>18025</v>
      </c>
    </row>
    <row r="1400" spans="1:5" x14ac:dyDescent="0.35">
      <c r="A1400" s="2">
        <v>45323</v>
      </c>
      <c r="B1400" t="s">
        <v>80</v>
      </c>
      <c r="C1400" t="s">
        <v>24</v>
      </c>
      <c r="D1400">
        <v>684</v>
      </c>
      <c r="E1400">
        <v>12281</v>
      </c>
    </row>
    <row r="1401" spans="1:5" x14ac:dyDescent="0.35">
      <c r="A1401" s="2">
        <v>45323</v>
      </c>
      <c r="B1401" t="s">
        <v>78</v>
      </c>
      <c r="C1401" t="s">
        <v>24</v>
      </c>
      <c r="D1401">
        <v>510</v>
      </c>
      <c r="E1401">
        <v>25758</v>
      </c>
    </row>
    <row r="1402" spans="1:5" x14ac:dyDescent="0.35">
      <c r="A1402" s="2">
        <v>45323</v>
      </c>
      <c r="B1402" t="s">
        <v>67</v>
      </c>
      <c r="C1402" t="s">
        <v>24</v>
      </c>
      <c r="D1402">
        <v>596</v>
      </c>
      <c r="E1402">
        <v>17898</v>
      </c>
    </row>
    <row r="1403" spans="1:5" x14ac:dyDescent="0.35">
      <c r="A1403" s="2">
        <v>45323</v>
      </c>
      <c r="B1403" t="s">
        <v>54</v>
      </c>
      <c r="C1403" t="s">
        <v>24</v>
      </c>
      <c r="D1403">
        <v>24</v>
      </c>
      <c r="E1403">
        <v>6858</v>
      </c>
    </row>
    <row r="1404" spans="1:5" x14ac:dyDescent="0.35">
      <c r="A1404" s="2">
        <v>45323</v>
      </c>
      <c r="B1404" t="s">
        <v>69</v>
      </c>
      <c r="C1404" t="s">
        <v>24</v>
      </c>
      <c r="D1404">
        <v>203</v>
      </c>
      <c r="E1404">
        <v>6305</v>
      </c>
    </row>
    <row r="1405" spans="1:5" x14ac:dyDescent="0.35">
      <c r="A1405" s="2">
        <v>45323</v>
      </c>
      <c r="B1405" t="s">
        <v>55</v>
      </c>
      <c r="C1405" t="s">
        <v>24</v>
      </c>
      <c r="D1405">
        <v>99</v>
      </c>
      <c r="E1405">
        <v>4125</v>
      </c>
    </row>
    <row r="1406" spans="1:5" x14ac:dyDescent="0.35">
      <c r="A1406" s="2">
        <v>45323</v>
      </c>
      <c r="B1406" t="s">
        <v>70</v>
      </c>
      <c r="C1406" t="s">
        <v>24</v>
      </c>
      <c r="D1406">
        <v>111</v>
      </c>
      <c r="E1406">
        <v>14051</v>
      </c>
    </row>
    <row r="1407" spans="1:5" x14ac:dyDescent="0.35">
      <c r="A1407" s="2">
        <v>45323</v>
      </c>
      <c r="B1407" t="s">
        <v>76</v>
      </c>
      <c r="C1407" t="s">
        <v>24</v>
      </c>
      <c r="D1407">
        <v>128</v>
      </c>
      <c r="E1407">
        <v>6125</v>
      </c>
    </row>
    <row r="1408" spans="1:5" x14ac:dyDescent="0.35">
      <c r="A1408" s="2">
        <v>45323</v>
      </c>
      <c r="B1408" t="s">
        <v>74</v>
      </c>
      <c r="C1408" t="s">
        <v>24</v>
      </c>
      <c r="D1408">
        <v>312</v>
      </c>
      <c r="E1408">
        <v>26000</v>
      </c>
    </row>
    <row r="1409" spans="1:5" x14ac:dyDescent="0.35">
      <c r="A1409" s="2">
        <v>45323</v>
      </c>
      <c r="B1409" t="s">
        <v>85</v>
      </c>
      <c r="C1409" t="s">
        <v>24</v>
      </c>
      <c r="D1409">
        <v>185</v>
      </c>
      <c r="E1409">
        <v>8487</v>
      </c>
    </row>
    <row r="1410" spans="1:5" x14ac:dyDescent="0.35">
      <c r="A1410" s="2">
        <v>45323</v>
      </c>
      <c r="B1410" t="s">
        <v>75</v>
      </c>
      <c r="C1410" t="s">
        <v>24</v>
      </c>
      <c r="D1410">
        <v>42</v>
      </c>
      <c r="E1410">
        <v>4667</v>
      </c>
    </row>
    <row r="1411" spans="1:5" x14ac:dyDescent="0.35">
      <c r="A1411" s="2">
        <v>45323</v>
      </c>
      <c r="B1411" t="s">
        <v>71</v>
      </c>
      <c r="C1411" t="s">
        <v>24</v>
      </c>
      <c r="D1411">
        <v>60</v>
      </c>
      <c r="E1411">
        <v>5826</v>
      </c>
    </row>
    <row r="1412" spans="1:5" x14ac:dyDescent="0.35">
      <c r="A1412" s="2">
        <v>45323</v>
      </c>
      <c r="B1412" t="s">
        <v>57</v>
      </c>
      <c r="C1412" t="s">
        <v>24</v>
      </c>
      <c r="D1412">
        <v>24</v>
      </c>
      <c r="E1412">
        <v>4211</v>
      </c>
    </row>
    <row r="1413" spans="1:5" x14ac:dyDescent="0.35">
      <c r="A1413" s="2">
        <v>45323</v>
      </c>
      <c r="B1413" t="s">
        <v>77</v>
      </c>
      <c r="C1413" t="s">
        <v>24</v>
      </c>
      <c r="D1413">
        <v>99</v>
      </c>
      <c r="E1413">
        <v>1772</v>
      </c>
    </row>
    <row r="1414" spans="1:5" x14ac:dyDescent="0.35">
      <c r="A1414" s="2">
        <v>45323</v>
      </c>
      <c r="B1414" t="s">
        <v>64</v>
      </c>
      <c r="C1414" t="s">
        <v>24</v>
      </c>
      <c r="D1414">
        <v>5</v>
      </c>
      <c r="E1414">
        <v>538</v>
      </c>
    </row>
    <row r="1415" spans="1:5" x14ac:dyDescent="0.35">
      <c r="A1415" s="2">
        <v>45323</v>
      </c>
      <c r="B1415" t="s">
        <v>66</v>
      </c>
      <c r="C1415" t="s">
        <v>24</v>
      </c>
      <c r="D1415">
        <v>84</v>
      </c>
      <c r="E1415">
        <v>1321</v>
      </c>
    </row>
    <row r="1416" spans="1:5" x14ac:dyDescent="0.35">
      <c r="A1416" s="2">
        <v>45323</v>
      </c>
      <c r="B1416" t="s">
        <v>63</v>
      </c>
      <c r="C1416" t="s">
        <v>24</v>
      </c>
      <c r="D1416">
        <v>16</v>
      </c>
      <c r="E1416">
        <v>1177</v>
      </c>
    </row>
    <row r="1417" spans="1:5" x14ac:dyDescent="0.35">
      <c r="A1417" s="2">
        <v>45323</v>
      </c>
      <c r="B1417" t="s">
        <v>72</v>
      </c>
      <c r="C1417" t="s">
        <v>24</v>
      </c>
      <c r="D1417">
        <v>11</v>
      </c>
      <c r="E1417">
        <v>4584</v>
      </c>
    </row>
    <row r="1418" spans="1:5" x14ac:dyDescent="0.35">
      <c r="A1418" s="2">
        <v>45323</v>
      </c>
      <c r="B1418" t="s">
        <v>59</v>
      </c>
      <c r="C1418" t="s">
        <v>24</v>
      </c>
      <c r="D1418">
        <v>7</v>
      </c>
      <c r="E1418">
        <v>310</v>
      </c>
    </row>
    <row r="1419" spans="1:5" x14ac:dyDescent="0.35">
      <c r="A1419" s="2">
        <v>45323</v>
      </c>
      <c r="B1419" t="s">
        <v>56</v>
      </c>
      <c r="C1419" t="s">
        <v>24</v>
      </c>
      <c r="D1419">
        <v>5</v>
      </c>
      <c r="E1419">
        <v>444</v>
      </c>
    </row>
    <row r="1420" spans="1:5" x14ac:dyDescent="0.35">
      <c r="A1420" s="2">
        <v>45323</v>
      </c>
      <c r="B1420" t="s">
        <v>60</v>
      </c>
      <c r="C1420" t="s">
        <v>24</v>
      </c>
      <c r="D1420">
        <v>4</v>
      </c>
      <c r="E1420">
        <v>1261</v>
      </c>
    </row>
    <row r="1421" spans="1:5" x14ac:dyDescent="0.35">
      <c r="A1421" s="2">
        <v>45323</v>
      </c>
      <c r="B1421" t="s">
        <v>53</v>
      </c>
      <c r="C1421" t="s">
        <v>24</v>
      </c>
      <c r="D1421">
        <v>4</v>
      </c>
      <c r="E1421">
        <v>1184</v>
      </c>
    </row>
    <row r="1422" spans="1:5" x14ac:dyDescent="0.35">
      <c r="A1422" s="2">
        <v>45352</v>
      </c>
      <c r="B1422" t="s">
        <v>81</v>
      </c>
      <c r="C1422" t="s">
        <v>24</v>
      </c>
      <c r="D1422">
        <v>1079</v>
      </c>
      <c r="E1422">
        <v>36826</v>
      </c>
    </row>
    <row r="1423" spans="1:5" x14ac:dyDescent="0.35">
      <c r="A1423" s="2">
        <v>45352</v>
      </c>
      <c r="B1423" t="s">
        <v>84</v>
      </c>
      <c r="C1423" t="s">
        <v>24</v>
      </c>
      <c r="D1423">
        <v>389</v>
      </c>
      <c r="E1423">
        <v>34425</v>
      </c>
    </row>
    <row r="1424" spans="1:5" x14ac:dyDescent="0.35">
      <c r="A1424" s="2">
        <v>45352</v>
      </c>
      <c r="B1424" t="s">
        <v>79</v>
      </c>
      <c r="C1424" t="s">
        <v>24</v>
      </c>
      <c r="D1424">
        <v>1482</v>
      </c>
      <c r="E1424">
        <v>26751</v>
      </c>
    </row>
    <row r="1425" spans="1:5" x14ac:dyDescent="0.35">
      <c r="A1425" s="2">
        <v>45352</v>
      </c>
      <c r="B1425" t="s">
        <v>83</v>
      </c>
      <c r="C1425" t="s">
        <v>24</v>
      </c>
      <c r="D1425">
        <v>749</v>
      </c>
      <c r="E1425">
        <v>22095</v>
      </c>
    </row>
    <row r="1426" spans="1:5" x14ac:dyDescent="0.35">
      <c r="A1426" s="2">
        <v>45352</v>
      </c>
      <c r="B1426" t="s">
        <v>82</v>
      </c>
      <c r="C1426" t="s">
        <v>24</v>
      </c>
      <c r="D1426">
        <v>493</v>
      </c>
      <c r="E1426">
        <v>16942</v>
      </c>
    </row>
    <row r="1427" spans="1:5" x14ac:dyDescent="0.35">
      <c r="A1427" s="2">
        <v>45352</v>
      </c>
      <c r="B1427" t="s">
        <v>67</v>
      </c>
      <c r="C1427" t="s">
        <v>24</v>
      </c>
      <c r="D1427">
        <v>897</v>
      </c>
      <c r="E1427">
        <v>15905</v>
      </c>
    </row>
    <row r="1428" spans="1:5" x14ac:dyDescent="0.35">
      <c r="A1428" s="2">
        <v>45352</v>
      </c>
      <c r="B1428" t="s">
        <v>80</v>
      </c>
      <c r="C1428" t="s">
        <v>24</v>
      </c>
      <c r="D1428">
        <v>876</v>
      </c>
      <c r="E1428">
        <v>13861</v>
      </c>
    </row>
    <row r="1429" spans="1:5" x14ac:dyDescent="0.35">
      <c r="A1429" s="2">
        <v>45352</v>
      </c>
      <c r="B1429" t="s">
        <v>78</v>
      </c>
      <c r="C1429" t="s">
        <v>24</v>
      </c>
      <c r="D1429">
        <v>661</v>
      </c>
      <c r="E1429">
        <v>25424</v>
      </c>
    </row>
    <row r="1430" spans="1:5" x14ac:dyDescent="0.35">
      <c r="A1430" s="2">
        <v>45352</v>
      </c>
      <c r="B1430" t="s">
        <v>65</v>
      </c>
      <c r="C1430" t="s">
        <v>24</v>
      </c>
      <c r="D1430">
        <v>99</v>
      </c>
      <c r="E1430">
        <v>6972</v>
      </c>
    </row>
    <row r="1431" spans="1:5" x14ac:dyDescent="0.35">
      <c r="A1431" s="2">
        <v>45352</v>
      </c>
      <c r="B1431" t="s">
        <v>68</v>
      </c>
      <c r="C1431" t="s">
        <v>24</v>
      </c>
      <c r="D1431">
        <v>143</v>
      </c>
      <c r="E1431">
        <v>14743</v>
      </c>
    </row>
    <row r="1432" spans="1:5" x14ac:dyDescent="0.35">
      <c r="A1432" s="2">
        <v>45352</v>
      </c>
      <c r="B1432" t="s">
        <v>76</v>
      </c>
      <c r="C1432" t="s">
        <v>24</v>
      </c>
      <c r="D1432">
        <v>366</v>
      </c>
      <c r="E1432">
        <v>7838</v>
      </c>
    </row>
    <row r="1433" spans="1:5" x14ac:dyDescent="0.35">
      <c r="A1433" s="2">
        <v>45352</v>
      </c>
      <c r="B1433" t="s">
        <v>54</v>
      </c>
      <c r="C1433" t="s">
        <v>24</v>
      </c>
      <c r="D1433">
        <v>53</v>
      </c>
      <c r="E1433">
        <v>7465</v>
      </c>
    </row>
    <row r="1434" spans="1:5" x14ac:dyDescent="0.35">
      <c r="A1434" s="2">
        <v>45352</v>
      </c>
      <c r="B1434" t="s">
        <v>55</v>
      </c>
      <c r="C1434" t="s">
        <v>24</v>
      </c>
      <c r="D1434">
        <v>120</v>
      </c>
      <c r="E1434">
        <v>4348</v>
      </c>
    </row>
    <row r="1435" spans="1:5" x14ac:dyDescent="0.35">
      <c r="A1435" s="2">
        <v>45352</v>
      </c>
      <c r="B1435" t="s">
        <v>70</v>
      </c>
      <c r="C1435" t="s">
        <v>24</v>
      </c>
      <c r="D1435">
        <v>132</v>
      </c>
      <c r="E1435">
        <v>14348</v>
      </c>
    </row>
    <row r="1436" spans="1:5" x14ac:dyDescent="0.35">
      <c r="A1436" s="2">
        <v>45352</v>
      </c>
      <c r="B1436" t="s">
        <v>85</v>
      </c>
      <c r="C1436" t="s">
        <v>24</v>
      </c>
      <c r="D1436">
        <v>495</v>
      </c>
      <c r="E1436">
        <v>8089</v>
      </c>
    </row>
    <row r="1437" spans="1:5" x14ac:dyDescent="0.35">
      <c r="A1437" s="2">
        <v>45352</v>
      </c>
      <c r="B1437" t="s">
        <v>74</v>
      </c>
      <c r="C1437" t="s">
        <v>24</v>
      </c>
      <c r="D1437">
        <v>305</v>
      </c>
      <c r="E1437">
        <v>23644</v>
      </c>
    </row>
    <row r="1438" spans="1:5" x14ac:dyDescent="0.35">
      <c r="A1438" s="2">
        <v>45352</v>
      </c>
      <c r="B1438" t="s">
        <v>75</v>
      </c>
      <c r="C1438" t="s">
        <v>24</v>
      </c>
      <c r="D1438">
        <v>52</v>
      </c>
      <c r="E1438">
        <v>4483</v>
      </c>
    </row>
    <row r="1439" spans="1:5" x14ac:dyDescent="0.35">
      <c r="A1439" s="2">
        <v>45352</v>
      </c>
      <c r="B1439" t="s">
        <v>77</v>
      </c>
      <c r="C1439" t="s">
        <v>24</v>
      </c>
      <c r="D1439">
        <v>123</v>
      </c>
      <c r="E1439">
        <v>1730</v>
      </c>
    </row>
    <row r="1440" spans="1:5" x14ac:dyDescent="0.35">
      <c r="A1440" s="2">
        <v>45352</v>
      </c>
      <c r="B1440" t="s">
        <v>71</v>
      </c>
      <c r="C1440" t="s">
        <v>24</v>
      </c>
      <c r="D1440">
        <v>51</v>
      </c>
      <c r="E1440">
        <v>4812</v>
      </c>
    </row>
    <row r="1441" spans="1:5" x14ac:dyDescent="0.35">
      <c r="A1441" s="2">
        <v>45352</v>
      </c>
      <c r="B1441" t="s">
        <v>57</v>
      </c>
      <c r="C1441" t="s">
        <v>24</v>
      </c>
      <c r="D1441">
        <v>18</v>
      </c>
      <c r="E1441">
        <v>4500</v>
      </c>
    </row>
    <row r="1442" spans="1:5" x14ac:dyDescent="0.35">
      <c r="A1442" s="2">
        <v>45352</v>
      </c>
      <c r="B1442" t="s">
        <v>64</v>
      </c>
      <c r="C1442" t="s">
        <v>24</v>
      </c>
      <c r="D1442">
        <v>3</v>
      </c>
      <c r="E1442">
        <v>556</v>
      </c>
    </row>
    <row r="1443" spans="1:5" x14ac:dyDescent="0.35">
      <c r="A1443" s="2">
        <v>45352</v>
      </c>
      <c r="B1443" t="s">
        <v>66</v>
      </c>
      <c r="C1443" t="s">
        <v>24</v>
      </c>
      <c r="D1443">
        <v>119</v>
      </c>
      <c r="E1443">
        <v>1294</v>
      </c>
    </row>
    <row r="1444" spans="1:5" x14ac:dyDescent="0.35">
      <c r="A1444" s="2">
        <v>45352</v>
      </c>
      <c r="B1444" t="s">
        <v>63</v>
      </c>
      <c r="C1444" t="s">
        <v>24</v>
      </c>
      <c r="D1444">
        <v>5</v>
      </c>
      <c r="E1444">
        <v>1042</v>
      </c>
    </row>
    <row r="1445" spans="1:5" x14ac:dyDescent="0.35">
      <c r="A1445" s="2">
        <v>45352</v>
      </c>
      <c r="B1445" t="s">
        <v>60</v>
      </c>
      <c r="C1445" t="s">
        <v>24</v>
      </c>
      <c r="D1445">
        <v>3</v>
      </c>
      <c r="E1445">
        <v>1200</v>
      </c>
    </row>
    <row r="1446" spans="1:5" x14ac:dyDescent="0.35">
      <c r="A1446" s="2">
        <v>45352</v>
      </c>
      <c r="B1446" t="s">
        <v>72</v>
      </c>
      <c r="C1446" t="s">
        <v>24</v>
      </c>
      <c r="D1446">
        <v>17</v>
      </c>
      <c r="E1446">
        <v>4147</v>
      </c>
    </row>
    <row r="1447" spans="1:5" x14ac:dyDescent="0.35">
      <c r="A1447" s="2">
        <v>45352</v>
      </c>
      <c r="B1447" t="s">
        <v>56</v>
      </c>
      <c r="C1447" t="s">
        <v>24</v>
      </c>
      <c r="D1447">
        <v>4</v>
      </c>
      <c r="E1447">
        <v>429</v>
      </c>
    </row>
    <row r="1448" spans="1:5" x14ac:dyDescent="0.35">
      <c r="A1448" s="2">
        <v>45352</v>
      </c>
      <c r="B1448" t="s">
        <v>59</v>
      </c>
      <c r="C1448" t="s">
        <v>24</v>
      </c>
      <c r="D1448">
        <v>2</v>
      </c>
      <c r="E1448">
        <v>370</v>
      </c>
    </row>
    <row r="1449" spans="1:5" x14ac:dyDescent="0.35">
      <c r="A1449" s="2">
        <v>44287</v>
      </c>
      <c r="B1449" t="s">
        <v>76</v>
      </c>
      <c r="C1449" t="s">
        <v>21</v>
      </c>
      <c r="D1449">
        <v>436</v>
      </c>
      <c r="E1449">
        <v>63444</v>
      </c>
    </row>
    <row r="1450" spans="1:5" x14ac:dyDescent="0.35">
      <c r="A1450" s="2">
        <v>44287</v>
      </c>
      <c r="B1450" t="s">
        <v>54</v>
      </c>
      <c r="C1450" t="s">
        <v>21</v>
      </c>
      <c r="D1450">
        <v>7</v>
      </c>
      <c r="E1450">
        <v>30344</v>
      </c>
    </row>
    <row r="1451" spans="1:5" x14ac:dyDescent="0.35">
      <c r="A1451" s="2">
        <v>44287</v>
      </c>
      <c r="B1451" t="s">
        <v>65</v>
      </c>
      <c r="C1451" t="s">
        <v>21</v>
      </c>
      <c r="D1451">
        <v>47</v>
      </c>
      <c r="E1451">
        <v>81056</v>
      </c>
    </row>
    <row r="1452" spans="1:5" x14ac:dyDescent="0.35">
      <c r="A1452" s="2">
        <v>44287</v>
      </c>
      <c r="B1452" t="s">
        <v>66</v>
      </c>
      <c r="C1452" t="s">
        <v>21</v>
      </c>
      <c r="D1452">
        <v>6</v>
      </c>
      <c r="E1452">
        <v>1200</v>
      </c>
    </row>
    <row r="1453" spans="1:5" x14ac:dyDescent="0.35">
      <c r="A1453" s="2">
        <v>44287</v>
      </c>
      <c r="B1453" t="s">
        <v>55</v>
      </c>
      <c r="C1453" t="s">
        <v>21</v>
      </c>
      <c r="D1453">
        <v>36</v>
      </c>
      <c r="E1453">
        <v>10274</v>
      </c>
    </row>
    <row r="1454" spans="1:5" x14ac:dyDescent="0.35">
      <c r="A1454" s="2">
        <v>44287</v>
      </c>
      <c r="B1454" t="s">
        <v>67</v>
      </c>
      <c r="C1454" t="s">
        <v>21</v>
      </c>
      <c r="D1454">
        <v>272</v>
      </c>
      <c r="E1454">
        <v>14233</v>
      </c>
    </row>
    <row r="1455" spans="1:5" x14ac:dyDescent="0.35">
      <c r="A1455" s="2">
        <v>44287</v>
      </c>
      <c r="B1455" t="s">
        <v>77</v>
      </c>
      <c r="C1455" t="s">
        <v>21</v>
      </c>
      <c r="D1455">
        <v>36</v>
      </c>
      <c r="E1455">
        <v>3374</v>
      </c>
    </row>
    <row r="1456" spans="1:5" x14ac:dyDescent="0.35">
      <c r="A1456" s="2">
        <v>44287</v>
      </c>
      <c r="B1456" t="s">
        <v>78</v>
      </c>
      <c r="C1456" t="s">
        <v>21</v>
      </c>
      <c r="D1456">
        <v>98</v>
      </c>
      <c r="E1456">
        <v>49005</v>
      </c>
    </row>
    <row r="1457" spans="1:5" x14ac:dyDescent="0.35">
      <c r="A1457" s="2">
        <v>44287</v>
      </c>
      <c r="B1457" t="s">
        <v>74</v>
      </c>
      <c r="C1457" t="s">
        <v>21</v>
      </c>
      <c r="D1457">
        <v>101</v>
      </c>
      <c r="E1457">
        <v>31078</v>
      </c>
    </row>
    <row r="1458" spans="1:5" x14ac:dyDescent="0.35">
      <c r="A1458" s="2">
        <v>44287</v>
      </c>
      <c r="B1458" t="s">
        <v>72</v>
      </c>
      <c r="C1458" t="s">
        <v>21</v>
      </c>
      <c r="D1458">
        <v>9</v>
      </c>
      <c r="E1458">
        <v>4360</v>
      </c>
    </row>
    <row r="1459" spans="1:5" x14ac:dyDescent="0.35">
      <c r="A1459" s="2">
        <v>44287</v>
      </c>
      <c r="B1459" t="s">
        <v>57</v>
      </c>
      <c r="C1459" t="s">
        <v>21</v>
      </c>
      <c r="D1459">
        <v>22</v>
      </c>
      <c r="E1459">
        <v>6874</v>
      </c>
    </row>
    <row r="1460" spans="1:5" x14ac:dyDescent="0.35">
      <c r="A1460" s="2">
        <v>44287</v>
      </c>
      <c r="B1460" t="s">
        <v>75</v>
      </c>
      <c r="C1460" t="s">
        <v>21</v>
      </c>
      <c r="D1460">
        <v>80</v>
      </c>
      <c r="E1460">
        <v>26969</v>
      </c>
    </row>
    <row r="1461" spans="1:5" x14ac:dyDescent="0.35">
      <c r="A1461" s="2">
        <v>44287</v>
      </c>
      <c r="B1461" t="s">
        <v>79</v>
      </c>
      <c r="C1461" t="s">
        <v>21</v>
      </c>
      <c r="D1461">
        <v>1549</v>
      </c>
      <c r="E1461">
        <v>59979</v>
      </c>
    </row>
    <row r="1462" spans="1:5" x14ac:dyDescent="0.35">
      <c r="A1462" s="2">
        <v>44287</v>
      </c>
      <c r="B1462" t="s">
        <v>80</v>
      </c>
      <c r="C1462" t="s">
        <v>21</v>
      </c>
      <c r="D1462">
        <v>379</v>
      </c>
      <c r="E1462">
        <v>57624</v>
      </c>
    </row>
    <row r="1463" spans="1:5" x14ac:dyDescent="0.35">
      <c r="A1463" s="2">
        <v>44287</v>
      </c>
      <c r="B1463" t="s">
        <v>68</v>
      </c>
      <c r="C1463" t="s">
        <v>21</v>
      </c>
      <c r="D1463">
        <v>126</v>
      </c>
      <c r="E1463">
        <v>29491</v>
      </c>
    </row>
    <row r="1464" spans="1:5" x14ac:dyDescent="0.35">
      <c r="A1464" s="2">
        <v>44287</v>
      </c>
      <c r="B1464" t="s">
        <v>81</v>
      </c>
      <c r="C1464" t="s">
        <v>21</v>
      </c>
      <c r="D1464">
        <v>428</v>
      </c>
      <c r="E1464">
        <v>45515</v>
      </c>
    </row>
    <row r="1465" spans="1:5" x14ac:dyDescent="0.35">
      <c r="A1465" s="2">
        <v>44287</v>
      </c>
      <c r="B1465" t="s">
        <v>59</v>
      </c>
      <c r="C1465" t="s">
        <v>21</v>
      </c>
      <c r="D1465">
        <v>2</v>
      </c>
      <c r="E1465">
        <v>3048</v>
      </c>
    </row>
    <row r="1466" spans="1:5" x14ac:dyDescent="0.35">
      <c r="A1466" s="2">
        <v>44287</v>
      </c>
      <c r="B1466" t="s">
        <v>69</v>
      </c>
      <c r="C1466" t="s">
        <v>21</v>
      </c>
      <c r="D1466">
        <v>191</v>
      </c>
      <c r="E1466">
        <v>36953</v>
      </c>
    </row>
    <row r="1467" spans="1:5" x14ac:dyDescent="0.35">
      <c r="A1467" s="2">
        <v>44287</v>
      </c>
      <c r="B1467" t="s">
        <v>63</v>
      </c>
      <c r="C1467" t="s">
        <v>21</v>
      </c>
      <c r="D1467">
        <v>18</v>
      </c>
      <c r="E1467">
        <v>2581</v>
      </c>
    </row>
    <row r="1468" spans="1:5" x14ac:dyDescent="0.35">
      <c r="A1468" s="2">
        <v>44287</v>
      </c>
      <c r="B1468" t="s">
        <v>70</v>
      </c>
      <c r="C1468" t="s">
        <v>21</v>
      </c>
      <c r="D1468">
        <v>9</v>
      </c>
      <c r="E1468">
        <v>24348</v>
      </c>
    </row>
    <row r="1469" spans="1:5" x14ac:dyDescent="0.35">
      <c r="A1469" s="2">
        <v>44287</v>
      </c>
      <c r="B1469" t="s">
        <v>82</v>
      </c>
      <c r="C1469" t="s">
        <v>21</v>
      </c>
      <c r="D1469">
        <v>325</v>
      </c>
      <c r="E1469">
        <v>48828</v>
      </c>
    </row>
    <row r="1470" spans="1:5" x14ac:dyDescent="0.35">
      <c r="A1470" s="2">
        <v>44287</v>
      </c>
      <c r="B1470" t="s">
        <v>83</v>
      </c>
      <c r="C1470" t="s">
        <v>21</v>
      </c>
      <c r="D1470">
        <v>1297</v>
      </c>
      <c r="E1470">
        <v>107658</v>
      </c>
    </row>
    <row r="1471" spans="1:5" x14ac:dyDescent="0.35">
      <c r="A1471" s="2">
        <v>44287</v>
      </c>
      <c r="B1471" t="s">
        <v>84</v>
      </c>
      <c r="C1471" t="s">
        <v>21</v>
      </c>
      <c r="D1471">
        <v>171</v>
      </c>
      <c r="E1471">
        <v>137840</v>
      </c>
    </row>
    <row r="1472" spans="1:5" x14ac:dyDescent="0.35">
      <c r="A1472" s="2">
        <v>44287</v>
      </c>
      <c r="B1472" t="s">
        <v>71</v>
      </c>
      <c r="C1472" t="s">
        <v>21</v>
      </c>
      <c r="D1472">
        <v>34</v>
      </c>
      <c r="E1472">
        <v>7607</v>
      </c>
    </row>
    <row r="1473" spans="1:5" x14ac:dyDescent="0.35">
      <c r="A1473" s="2">
        <v>44287</v>
      </c>
      <c r="B1473" t="s">
        <v>85</v>
      </c>
      <c r="C1473" t="s">
        <v>21</v>
      </c>
      <c r="D1473">
        <v>9</v>
      </c>
      <c r="E1473">
        <v>65885</v>
      </c>
    </row>
    <row r="1474" spans="1:5" x14ac:dyDescent="0.35">
      <c r="A1474" s="2">
        <v>44317</v>
      </c>
      <c r="B1474" t="s">
        <v>76</v>
      </c>
      <c r="C1474" t="s">
        <v>21</v>
      </c>
      <c r="D1474">
        <v>201</v>
      </c>
      <c r="E1474">
        <v>41370</v>
      </c>
    </row>
    <row r="1475" spans="1:5" x14ac:dyDescent="0.35">
      <c r="A1475" s="2">
        <v>44317</v>
      </c>
      <c r="B1475" t="s">
        <v>65</v>
      </c>
      <c r="C1475" t="s">
        <v>21</v>
      </c>
      <c r="D1475">
        <v>8</v>
      </c>
      <c r="E1475">
        <v>55276</v>
      </c>
    </row>
    <row r="1476" spans="1:5" x14ac:dyDescent="0.35">
      <c r="A1476" s="2">
        <v>44317</v>
      </c>
      <c r="B1476" t="s">
        <v>55</v>
      </c>
      <c r="C1476" t="s">
        <v>21</v>
      </c>
      <c r="D1476">
        <v>6</v>
      </c>
      <c r="E1476">
        <v>5280</v>
      </c>
    </row>
    <row r="1477" spans="1:5" x14ac:dyDescent="0.35">
      <c r="A1477" s="2">
        <v>44317</v>
      </c>
      <c r="B1477" t="s">
        <v>77</v>
      </c>
      <c r="C1477" t="s">
        <v>21</v>
      </c>
      <c r="D1477">
        <v>27</v>
      </c>
      <c r="E1477">
        <v>379</v>
      </c>
    </row>
    <row r="1478" spans="1:5" x14ac:dyDescent="0.35">
      <c r="A1478" s="2">
        <v>44317</v>
      </c>
      <c r="B1478" t="s">
        <v>78</v>
      </c>
      <c r="C1478" t="s">
        <v>21</v>
      </c>
      <c r="D1478">
        <v>106</v>
      </c>
      <c r="E1478">
        <v>33419</v>
      </c>
    </row>
    <row r="1479" spans="1:5" x14ac:dyDescent="0.35">
      <c r="A1479" s="2">
        <v>44317</v>
      </c>
      <c r="B1479" t="s">
        <v>74</v>
      </c>
      <c r="C1479" t="s">
        <v>21</v>
      </c>
      <c r="D1479">
        <v>17</v>
      </c>
      <c r="E1479">
        <v>7315</v>
      </c>
    </row>
    <row r="1480" spans="1:5" x14ac:dyDescent="0.35">
      <c r="A1480" s="2">
        <v>44317</v>
      </c>
      <c r="B1480" t="s">
        <v>72</v>
      </c>
      <c r="C1480" t="s">
        <v>21</v>
      </c>
      <c r="D1480">
        <v>4</v>
      </c>
      <c r="E1480">
        <v>1721</v>
      </c>
    </row>
    <row r="1481" spans="1:5" x14ac:dyDescent="0.35">
      <c r="A1481" s="2">
        <v>44317</v>
      </c>
      <c r="B1481" t="s">
        <v>57</v>
      </c>
      <c r="C1481" t="s">
        <v>21</v>
      </c>
      <c r="D1481">
        <v>50</v>
      </c>
      <c r="E1481">
        <v>1916</v>
      </c>
    </row>
    <row r="1482" spans="1:5" x14ac:dyDescent="0.35">
      <c r="A1482" s="2">
        <v>44317</v>
      </c>
      <c r="B1482" t="s">
        <v>75</v>
      </c>
      <c r="C1482" t="s">
        <v>21</v>
      </c>
      <c r="D1482">
        <v>39</v>
      </c>
      <c r="E1482">
        <v>21680</v>
      </c>
    </row>
    <row r="1483" spans="1:5" x14ac:dyDescent="0.35">
      <c r="A1483" s="2">
        <v>44317</v>
      </c>
      <c r="B1483" t="s">
        <v>79</v>
      </c>
      <c r="C1483" t="s">
        <v>21</v>
      </c>
      <c r="D1483">
        <v>140</v>
      </c>
      <c r="E1483">
        <v>4942</v>
      </c>
    </row>
    <row r="1484" spans="1:5" x14ac:dyDescent="0.35">
      <c r="A1484" s="2">
        <v>44317</v>
      </c>
      <c r="B1484" t="s">
        <v>80</v>
      </c>
      <c r="C1484" t="s">
        <v>21</v>
      </c>
      <c r="D1484">
        <v>95</v>
      </c>
      <c r="E1484">
        <v>6675</v>
      </c>
    </row>
    <row r="1485" spans="1:5" x14ac:dyDescent="0.35">
      <c r="A1485" s="2">
        <v>44317</v>
      </c>
      <c r="B1485" t="s">
        <v>81</v>
      </c>
      <c r="C1485" t="s">
        <v>21</v>
      </c>
      <c r="D1485">
        <v>189</v>
      </c>
      <c r="E1485">
        <v>16627</v>
      </c>
    </row>
    <row r="1486" spans="1:5" x14ac:dyDescent="0.35">
      <c r="A1486" s="2">
        <v>44317</v>
      </c>
      <c r="B1486" t="s">
        <v>69</v>
      </c>
      <c r="C1486" t="s">
        <v>21</v>
      </c>
      <c r="D1486">
        <v>28</v>
      </c>
      <c r="E1486">
        <v>5900</v>
      </c>
    </row>
    <row r="1487" spans="1:5" x14ac:dyDescent="0.35">
      <c r="A1487" s="2">
        <v>44317</v>
      </c>
      <c r="B1487" t="s">
        <v>63</v>
      </c>
      <c r="C1487" t="s">
        <v>21</v>
      </c>
      <c r="D1487">
        <v>3</v>
      </c>
      <c r="E1487">
        <v>314</v>
      </c>
    </row>
    <row r="1488" spans="1:5" x14ac:dyDescent="0.35">
      <c r="A1488" s="2">
        <v>44317</v>
      </c>
      <c r="B1488" t="s">
        <v>70</v>
      </c>
      <c r="C1488" t="s">
        <v>21</v>
      </c>
      <c r="D1488">
        <v>21</v>
      </c>
      <c r="E1488">
        <v>14366</v>
      </c>
    </row>
    <row r="1489" spans="1:5" x14ac:dyDescent="0.35">
      <c r="A1489" s="2">
        <v>44317</v>
      </c>
      <c r="B1489" t="s">
        <v>82</v>
      </c>
      <c r="C1489" t="s">
        <v>21</v>
      </c>
      <c r="D1489">
        <v>33</v>
      </c>
      <c r="E1489">
        <v>18802</v>
      </c>
    </row>
    <row r="1490" spans="1:5" x14ac:dyDescent="0.35">
      <c r="A1490" s="2">
        <v>44317</v>
      </c>
      <c r="B1490" t="s">
        <v>83</v>
      </c>
      <c r="C1490" t="s">
        <v>21</v>
      </c>
      <c r="D1490">
        <v>237</v>
      </c>
      <c r="E1490">
        <v>17837</v>
      </c>
    </row>
    <row r="1491" spans="1:5" x14ac:dyDescent="0.35">
      <c r="A1491" s="2">
        <v>44317</v>
      </c>
      <c r="B1491" t="s">
        <v>84</v>
      </c>
      <c r="C1491" t="s">
        <v>21</v>
      </c>
      <c r="D1491">
        <v>25</v>
      </c>
      <c r="E1491">
        <v>147458</v>
      </c>
    </row>
    <row r="1492" spans="1:5" x14ac:dyDescent="0.35">
      <c r="A1492" s="2">
        <v>44317</v>
      </c>
      <c r="B1492" t="s">
        <v>71</v>
      </c>
      <c r="C1492" t="s">
        <v>21</v>
      </c>
      <c r="D1492">
        <v>6</v>
      </c>
      <c r="E1492">
        <v>2957</v>
      </c>
    </row>
    <row r="1493" spans="1:5" x14ac:dyDescent="0.35">
      <c r="A1493" s="2">
        <v>44317</v>
      </c>
      <c r="B1493" t="s">
        <v>85</v>
      </c>
      <c r="C1493" t="s">
        <v>21</v>
      </c>
      <c r="D1493">
        <v>6</v>
      </c>
      <c r="E1493">
        <v>28906</v>
      </c>
    </row>
    <row r="1494" spans="1:5" x14ac:dyDescent="0.35">
      <c r="A1494" s="2">
        <v>44348</v>
      </c>
      <c r="B1494" t="s">
        <v>76</v>
      </c>
      <c r="C1494" t="s">
        <v>21</v>
      </c>
      <c r="D1494">
        <v>369</v>
      </c>
      <c r="E1494">
        <v>53867</v>
      </c>
    </row>
    <row r="1495" spans="1:5" x14ac:dyDescent="0.35">
      <c r="A1495" s="2">
        <v>44348</v>
      </c>
      <c r="B1495" t="s">
        <v>54</v>
      </c>
      <c r="C1495" t="s">
        <v>21</v>
      </c>
      <c r="D1495">
        <v>6</v>
      </c>
      <c r="E1495">
        <v>22586</v>
      </c>
    </row>
    <row r="1496" spans="1:5" x14ac:dyDescent="0.35">
      <c r="A1496" s="2">
        <v>44348</v>
      </c>
      <c r="B1496" t="s">
        <v>65</v>
      </c>
      <c r="C1496" t="s">
        <v>21</v>
      </c>
      <c r="D1496">
        <v>67</v>
      </c>
      <c r="E1496">
        <v>100771</v>
      </c>
    </row>
    <row r="1497" spans="1:5" x14ac:dyDescent="0.35">
      <c r="A1497" s="2">
        <v>44348</v>
      </c>
      <c r="B1497" t="s">
        <v>66</v>
      </c>
      <c r="C1497" t="s">
        <v>21</v>
      </c>
      <c r="D1497">
        <v>2</v>
      </c>
      <c r="E1497">
        <v>1314</v>
      </c>
    </row>
    <row r="1498" spans="1:5" x14ac:dyDescent="0.35">
      <c r="A1498" s="2">
        <v>44348</v>
      </c>
      <c r="B1498" t="s">
        <v>55</v>
      </c>
      <c r="C1498" t="s">
        <v>21</v>
      </c>
      <c r="D1498">
        <v>138</v>
      </c>
      <c r="E1498">
        <v>31808</v>
      </c>
    </row>
    <row r="1499" spans="1:5" x14ac:dyDescent="0.35">
      <c r="A1499" s="2">
        <v>44348</v>
      </c>
      <c r="B1499" t="s">
        <v>56</v>
      </c>
      <c r="C1499" t="s">
        <v>21</v>
      </c>
      <c r="D1499">
        <v>2</v>
      </c>
      <c r="E1499">
        <v>627</v>
      </c>
    </row>
    <row r="1500" spans="1:5" x14ac:dyDescent="0.35">
      <c r="A1500" s="2">
        <v>44348</v>
      </c>
      <c r="B1500" t="s">
        <v>67</v>
      </c>
      <c r="C1500" t="s">
        <v>21</v>
      </c>
      <c r="D1500">
        <v>205</v>
      </c>
      <c r="E1500">
        <v>22186</v>
      </c>
    </row>
    <row r="1501" spans="1:5" x14ac:dyDescent="0.35">
      <c r="A1501" s="2">
        <v>44348</v>
      </c>
      <c r="B1501" t="s">
        <v>77</v>
      </c>
      <c r="C1501" t="s">
        <v>21</v>
      </c>
      <c r="D1501">
        <v>17</v>
      </c>
      <c r="E1501">
        <v>1533</v>
      </c>
    </row>
    <row r="1502" spans="1:5" x14ac:dyDescent="0.35">
      <c r="A1502" s="2">
        <v>44348</v>
      </c>
      <c r="B1502" t="s">
        <v>78</v>
      </c>
      <c r="C1502" t="s">
        <v>21</v>
      </c>
      <c r="D1502">
        <v>207</v>
      </c>
      <c r="E1502">
        <v>59121</v>
      </c>
    </row>
    <row r="1503" spans="1:5" x14ac:dyDescent="0.35">
      <c r="A1503" s="2">
        <v>44348</v>
      </c>
      <c r="B1503" t="s">
        <v>74</v>
      </c>
      <c r="C1503" t="s">
        <v>21</v>
      </c>
      <c r="D1503">
        <v>74</v>
      </c>
      <c r="E1503">
        <v>31957</v>
      </c>
    </row>
    <row r="1504" spans="1:5" x14ac:dyDescent="0.35">
      <c r="A1504" s="2">
        <v>44348</v>
      </c>
      <c r="B1504" t="s">
        <v>72</v>
      </c>
      <c r="C1504" t="s">
        <v>21</v>
      </c>
      <c r="D1504">
        <v>25</v>
      </c>
      <c r="E1504">
        <v>5098</v>
      </c>
    </row>
    <row r="1505" spans="1:5" x14ac:dyDescent="0.35">
      <c r="A1505" s="2">
        <v>44348</v>
      </c>
      <c r="B1505" t="s">
        <v>57</v>
      </c>
      <c r="C1505" t="s">
        <v>21</v>
      </c>
      <c r="D1505">
        <v>87</v>
      </c>
      <c r="E1505">
        <v>8677</v>
      </c>
    </row>
    <row r="1506" spans="1:5" x14ac:dyDescent="0.35">
      <c r="A1506" s="2">
        <v>44348</v>
      </c>
      <c r="B1506" t="s">
        <v>75</v>
      </c>
      <c r="C1506" t="s">
        <v>21</v>
      </c>
      <c r="D1506">
        <v>42</v>
      </c>
      <c r="E1506">
        <v>33533</v>
      </c>
    </row>
    <row r="1507" spans="1:5" x14ac:dyDescent="0.35">
      <c r="A1507" s="2">
        <v>44348</v>
      </c>
      <c r="B1507" t="s">
        <v>79</v>
      </c>
      <c r="C1507" t="s">
        <v>21</v>
      </c>
      <c r="D1507">
        <v>560</v>
      </c>
      <c r="E1507">
        <v>19402</v>
      </c>
    </row>
    <row r="1508" spans="1:5" x14ac:dyDescent="0.35">
      <c r="A1508" s="2">
        <v>44348</v>
      </c>
      <c r="B1508" t="s">
        <v>80</v>
      </c>
      <c r="C1508" t="s">
        <v>21</v>
      </c>
      <c r="D1508">
        <v>184</v>
      </c>
      <c r="E1508">
        <v>17828</v>
      </c>
    </row>
    <row r="1509" spans="1:5" x14ac:dyDescent="0.35">
      <c r="A1509" s="2">
        <v>44348</v>
      </c>
      <c r="B1509" t="s">
        <v>68</v>
      </c>
      <c r="C1509" t="s">
        <v>21</v>
      </c>
      <c r="D1509">
        <v>227</v>
      </c>
      <c r="E1509">
        <v>90928</v>
      </c>
    </row>
    <row r="1510" spans="1:5" x14ac:dyDescent="0.35">
      <c r="A1510" s="2">
        <v>44348</v>
      </c>
      <c r="B1510" t="s">
        <v>81</v>
      </c>
      <c r="C1510" t="s">
        <v>21</v>
      </c>
      <c r="D1510">
        <v>891</v>
      </c>
      <c r="E1510">
        <v>75098</v>
      </c>
    </row>
    <row r="1511" spans="1:5" x14ac:dyDescent="0.35">
      <c r="A1511" s="2">
        <v>44348</v>
      </c>
      <c r="B1511" t="s">
        <v>69</v>
      </c>
      <c r="C1511" t="s">
        <v>21</v>
      </c>
      <c r="D1511">
        <v>147</v>
      </c>
      <c r="E1511">
        <v>23193</v>
      </c>
    </row>
    <row r="1512" spans="1:5" x14ac:dyDescent="0.35">
      <c r="A1512" s="2">
        <v>44348</v>
      </c>
      <c r="B1512" t="s">
        <v>63</v>
      </c>
      <c r="C1512" t="s">
        <v>21</v>
      </c>
      <c r="D1512">
        <v>31</v>
      </c>
      <c r="E1512">
        <v>2559</v>
      </c>
    </row>
    <row r="1513" spans="1:5" x14ac:dyDescent="0.35">
      <c r="A1513" s="2">
        <v>44348</v>
      </c>
      <c r="B1513" t="s">
        <v>70</v>
      </c>
      <c r="C1513" t="s">
        <v>21</v>
      </c>
      <c r="D1513">
        <v>71</v>
      </c>
      <c r="E1513">
        <v>23393</v>
      </c>
    </row>
    <row r="1514" spans="1:5" x14ac:dyDescent="0.35">
      <c r="A1514" s="2">
        <v>44348</v>
      </c>
      <c r="B1514" t="s">
        <v>82</v>
      </c>
      <c r="C1514" t="s">
        <v>21</v>
      </c>
      <c r="D1514">
        <v>515</v>
      </c>
      <c r="E1514">
        <v>59809</v>
      </c>
    </row>
    <row r="1515" spans="1:5" x14ac:dyDescent="0.35">
      <c r="A1515" s="2">
        <v>44348</v>
      </c>
      <c r="B1515" t="s">
        <v>83</v>
      </c>
      <c r="C1515" t="s">
        <v>21</v>
      </c>
      <c r="D1515">
        <v>660</v>
      </c>
      <c r="E1515">
        <v>45197</v>
      </c>
    </row>
    <row r="1516" spans="1:5" x14ac:dyDescent="0.35">
      <c r="A1516" s="2">
        <v>44348</v>
      </c>
      <c r="B1516" t="s">
        <v>84</v>
      </c>
      <c r="C1516" t="s">
        <v>21</v>
      </c>
      <c r="D1516">
        <v>92</v>
      </c>
      <c r="E1516">
        <v>264409</v>
      </c>
    </row>
    <row r="1517" spans="1:5" x14ac:dyDescent="0.35">
      <c r="A1517" s="2">
        <v>44348</v>
      </c>
      <c r="B1517" t="s">
        <v>71</v>
      </c>
      <c r="C1517" t="s">
        <v>21</v>
      </c>
      <c r="D1517">
        <v>37</v>
      </c>
      <c r="E1517">
        <v>9766</v>
      </c>
    </row>
    <row r="1518" spans="1:5" x14ac:dyDescent="0.35">
      <c r="A1518" s="2">
        <v>44348</v>
      </c>
      <c r="B1518" t="s">
        <v>85</v>
      </c>
      <c r="C1518" t="s">
        <v>21</v>
      </c>
      <c r="D1518">
        <v>12</v>
      </c>
      <c r="E1518">
        <v>67354</v>
      </c>
    </row>
    <row r="1519" spans="1:5" x14ac:dyDescent="0.35">
      <c r="A1519" s="2">
        <v>44378</v>
      </c>
      <c r="B1519" t="s">
        <v>76</v>
      </c>
      <c r="C1519" t="s">
        <v>21</v>
      </c>
      <c r="D1519">
        <v>811</v>
      </c>
      <c r="E1519">
        <v>58165</v>
      </c>
    </row>
    <row r="1520" spans="1:5" x14ac:dyDescent="0.35">
      <c r="A1520" s="2">
        <v>44378</v>
      </c>
      <c r="B1520" t="s">
        <v>54</v>
      </c>
      <c r="C1520" t="s">
        <v>21</v>
      </c>
      <c r="D1520">
        <v>22</v>
      </c>
      <c r="E1520">
        <v>22521</v>
      </c>
    </row>
    <row r="1521" spans="1:5" x14ac:dyDescent="0.35">
      <c r="A1521" s="2">
        <v>44378</v>
      </c>
      <c r="B1521" t="s">
        <v>65</v>
      </c>
      <c r="C1521" t="s">
        <v>21</v>
      </c>
      <c r="D1521">
        <v>189</v>
      </c>
      <c r="E1521">
        <v>70562</v>
      </c>
    </row>
    <row r="1522" spans="1:5" x14ac:dyDescent="0.35">
      <c r="A1522" s="2">
        <v>44378</v>
      </c>
      <c r="B1522" t="s">
        <v>66</v>
      </c>
      <c r="C1522" t="s">
        <v>21</v>
      </c>
      <c r="D1522">
        <v>11</v>
      </c>
      <c r="E1522">
        <v>1286</v>
      </c>
    </row>
    <row r="1523" spans="1:5" x14ac:dyDescent="0.35">
      <c r="A1523" s="2">
        <v>44378</v>
      </c>
      <c r="B1523" t="s">
        <v>55</v>
      </c>
      <c r="C1523" t="s">
        <v>21</v>
      </c>
      <c r="D1523">
        <v>253</v>
      </c>
      <c r="E1523">
        <v>30642</v>
      </c>
    </row>
    <row r="1524" spans="1:5" x14ac:dyDescent="0.35">
      <c r="A1524" s="2">
        <v>44378</v>
      </c>
      <c r="B1524" t="s">
        <v>56</v>
      </c>
      <c r="C1524" t="s">
        <v>21</v>
      </c>
      <c r="D1524">
        <v>3</v>
      </c>
      <c r="E1524">
        <v>704</v>
      </c>
    </row>
    <row r="1525" spans="1:5" x14ac:dyDescent="0.35">
      <c r="A1525" s="2">
        <v>44378</v>
      </c>
      <c r="B1525" t="s">
        <v>67</v>
      </c>
      <c r="C1525" t="s">
        <v>21</v>
      </c>
      <c r="D1525">
        <v>818</v>
      </c>
      <c r="E1525">
        <v>24955</v>
      </c>
    </row>
    <row r="1526" spans="1:5" x14ac:dyDescent="0.35">
      <c r="A1526" s="2">
        <v>44378</v>
      </c>
      <c r="B1526" t="s">
        <v>77</v>
      </c>
      <c r="C1526" t="s">
        <v>21</v>
      </c>
      <c r="D1526">
        <v>64</v>
      </c>
      <c r="E1526">
        <v>1694</v>
      </c>
    </row>
    <row r="1527" spans="1:5" x14ac:dyDescent="0.35">
      <c r="A1527" s="2">
        <v>44378</v>
      </c>
      <c r="B1527" t="s">
        <v>78</v>
      </c>
      <c r="C1527" t="s">
        <v>21</v>
      </c>
      <c r="D1527">
        <v>358</v>
      </c>
      <c r="E1527">
        <v>68641</v>
      </c>
    </row>
    <row r="1528" spans="1:5" x14ac:dyDescent="0.35">
      <c r="A1528" s="2">
        <v>44378</v>
      </c>
      <c r="B1528" t="s">
        <v>74</v>
      </c>
      <c r="C1528" t="s">
        <v>21</v>
      </c>
      <c r="D1528">
        <v>134</v>
      </c>
      <c r="E1528">
        <v>24476</v>
      </c>
    </row>
    <row r="1529" spans="1:5" x14ac:dyDescent="0.35">
      <c r="A1529" s="2">
        <v>44378</v>
      </c>
      <c r="B1529" t="s">
        <v>72</v>
      </c>
      <c r="C1529" t="s">
        <v>21</v>
      </c>
      <c r="D1529">
        <v>18</v>
      </c>
      <c r="E1529">
        <v>6543</v>
      </c>
    </row>
    <row r="1530" spans="1:5" x14ac:dyDescent="0.35">
      <c r="A1530" s="2">
        <v>44378</v>
      </c>
      <c r="B1530" t="s">
        <v>57</v>
      </c>
      <c r="C1530" t="s">
        <v>21</v>
      </c>
      <c r="D1530">
        <v>203</v>
      </c>
      <c r="E1530">
        <v>10104</v>
      </c>
    </row>
    <row r="1531" spans="1:5" x14ac:dyDescent="0.35">
      <c r="A1531" s="2">
        <v>44378</v>
      </c>
      <c r="B1531" t="s">
        <v>75</v>
      </c>
      <c r="C1531" t="s">
        <v>21</v>
      </c>
      <c r="D1531">
        <v>108</v>
      </c>
      <c r="E1531">
        <v>29512</v>
      </c>
    </row>
    <row r="1532" spans="1:5" x14ac:dyDescent="0.35">
      <c r="A1532" s="2">
        <v>44378</v>
      </c>
      <c r="B1532" t="s">
        <v>79</v>
      </c>
      <c r="C1532" t="s">
        <v>21</v>
      </c>
      <c r="D1532">
        <v>3384</v>
      </c>
      <c r="E1532">
        <v>84001</v>
      </c>
    </row>
    <row r="1533" spans="1:5" x14ac:dyDescent="0.35">
      <c r="A1533" s="2">
        <v>44378</v>
      </c>
      <c r="B1533" t="s">
        <v>80</v>
      </c>
      <c r="C1533" t="s">
        <v>21</v>
      </c>
      <c r="D1533">
        <v>456</v>
      </c>
      <c r="E1533">
        <v>41455</v>
      </c>
    </row>
    <row r="1534" spans="1:5" x14ac:dyDescent="0.35">
      <c r="A1534" s="2">
        <v>44378</v>
      </c>
      <c r="B1534" t="s">
        <v>68</v>
      </c>
      <c r="C1534" t="s">
        <v>21</v>
      </c>
      <c r="D1534">
        <v>469</v>
      </c>
      <c r="E1534">
        <v>99094</v>
      </c>
    </row>
    <row r="1535" spans="1:5" x14ac:dyDescent="0.35">
      <c r="A1535" s="2">
        <v>44378</v>
      </c>
      <c r="B1535" t="s">
        <v>81</v>
      </c>
      <c r="C1535" t="s">
        <v>21</v>
      </c>
      <c r="D1535">
        <v>2101</v>
      </c>
      <c r="E1535">
        <v>146083</v>
      </c>
    </row>
    <row r="1536" spans="1:5" x14ac:dyDescent="0.35">
      <c r="A1536" s="2">
        <v>44378</v>
      </c>
      <c r="B1536" t="s">
        <v>69</v>
      </c>
      <c r="C1536" t="s">
        <v>21</v>
      </c>
      <c r="D1536">
        <v>324</v>
      </c>
      <c r="E1536">
        <v>38080</v>
      </c>
    </row>
    <row r="1537" spans="1:5" x14ac:dyDescent="0.35">
      <c r="A1537" s="2">
        <v>44378</v>
      </c>
      <c r="B1537" t="s">
        <v>63</v>
      </c>
      <c r="C1537" t="s">
        <v>21</v>
      </c>
      <c r="D1537">
        <v>38</v>
      </c>
      <c r="E1537">
        <v>3592</v>
      </c>
    </row>
    <row r="1538" spans="1:5" x14ac:dyDescent="0.35">
      <c r="A1538" s="2">
        <v>44378</v>
      </c>
      <c r="B1538" t="s">
        <v>70</v>
      </c>
      <c r="C1538" t="s">
        <v>21</v>
      </c>
      <c r="D1538">
        <v>318</v>
      </c>
      <c r="E1538">
        <v>27261</v>
      </c>
    </row>
    <row r="1539" spans="1:5" x14ac:dyDescent="0.35">
      <c r="A1539" s="2">
        <v>44378</v>
      </c>
      <c r="B1539" t="s">
        <v>82</v>
      </c>
      <c r="C1539" t="s">
        <v>21</v>
      </c>
      <c r="D1539">
        <v>1378</v>
      </c>
      <c r="E1539">
        <v>67308</v>
      </c>
    </row>
    <row r="1540" spans="1:5" x14ac:dyDescent="0.35">
      <c r="A1540" s="2">
        <v>44378</v>
      </c>
      <c r="B1540" t="s">
        <v>83</v>
      </c>
      <c r="C1540" t="s">
        <v>21</v>
      </c>
      <c r="D1540">
        <v>2801</v>
      </c>
      <c r="E1540">
        <v>122808</v>
      </c>
    </row>
    <row r="1541" spans="1:5" x14ac:dyDescent="0.35">
      <c r="A1541" s="2">
        <v>44378</v>
      </c>
      <c r="B1541" t="s">
        <v>84</v>
      </c>
      <c r="C1541" t="s">
        <v>21</v>
      </c>
      <c r="D1541">
        <v>303</v>
      </c>
      <c r="E1541">
        <v>215180</v>
      </c>
    </row>
    <row r="1542" spans="1:5" x14ac:dyDescent="0.35">
      <c r="A1542" s="2">
        <v>44378</v>
      </c>
      <c r="B1542" t="s">
        <v>71</v>
      </c>
      <c r="C1542" t="s">
        <v>21</v>
      </c>
      <c r="D1542">
        <v>76</v>
      </c>
      <c r="E1542">
        <v>12268</v>
      </c>
    </row>
    <row r="1543" spans="1:5" x14ac:dyDescent="0.35">
      <c r="A1543" s="2">
        <v>44378</v>
      </c>
      <c r="B1543" t="s">
        <v>85</v>
      </c>
      <c r="C1543" t="s">
        <v>21</v>
      </c>
      <c r="D1543">
        <v>36</v>
      </c>
      <c r="E1543">
        <v>76665</v>
      </c>
    </row>
    <row r="1544" spans="1:5" x14ac:dyDescent="0.35">
      <c r="A1544" s="2">
        <v>44409</v>
      </c>
      <c r="B1544" t="s">
        <v>76</v>
      </c>
      <c r="C1544" t="s">
        <v>21</v>
      </c>
      <c r="D1544">
        <v>666</v>
      </c>
      <c r="E1544">
        <v>58473</v>
      </c>
    </row>
    <row r="1545" spans="1:5" x14ac:dyDescent="0.35">
      <c r="A1545" s="2">
        <v>44409</v>
      </c>
      <c r="B1545" t="s">
        <v>54</v>
      </c>
      <c r="C1545" t="s">
        <v>21</v>
      </c>
      <c r="D1545">
        <v>26</v>
      </c>
      <c r="E1545">
        <v>25097</v>
      </c>
    </row>
    <row r="1546" spans="1:5" x14ac:dyDescent="0.35">
      <c r="A1546" s="2">
        <v>44409</v>
      </c>
      <c r="B1546" t="s">
        <v>65</v>
      </c>
      <c r="C1546" t="s">
        <v>21</v>
      </c>
      <c r="D1546">
        <v>191</v>
      </c>
      <c r="E1546">
        <v>54618</v>
      </c>
    </row>
    <row r="1547" spans="1:5" x14ac:dyDescent="0.35">
      <c r="A1547" s="2">
        <v>44409</v>
      </c>
      <c r="B1547" t="s">
        <v>66</v>
      </c>
      <c r="C1547" t="s">
        <v>21</v>
      </c>
      <c r="D1547">
        <v>19</v>
      </c>
      <c r="E1547">
        <v>1380</v>
      </c>
    </row>
    <row r="1548" spans="1:5" x14ac:dyDescent="0.35">
      <c r="A1548" s="2">
        <v>44409</v>
      </c>
      <c r="B1548" t="s">
        <v>55</v>
      </c>
      <c r="C1548" t="s">
        <v>21</v>
      </c>
      <c r="D1548">
        <v>238</v>
      </c>
      <c r="E1548">
        <v>27491</v>
      </c>
    </row>
    <row r="1549" spans="1:5" x14ac:dyDescent="0.35">
      <c r="A1549" s="2">
        <v>44409</v>
      </c>
      <c r="B1549" t="s">
        <v>56</v>
      </c>
      <c r="C1549" t="s">
        <v>21</v>
      </c>
      <c r="D1549">
        <v>2</v>
      </c>
      <c r="E1549">
        <v>584</v>
      </c>
    </row>
    <row r="1550" spans="1:5" x14ac:dyDescent="0.35">
      <c r="A1550" s="2">
        <v>44409</v>
      </c>
      <c r="B1550" t="s">
        <v>67</v>
      </c>
      <c r="C1550" t="s">
        <v>21</v>
      </c>
      <c r="D1550">
        <v>995</v>
      </c>
      <c r="E1550">
        <v>26069</v>
      </c>
    </row>
    <row r="1551" spans="1:5" x14ac:dyDescent="0.35">
      <c r="A1551" s="2">
        <v>44409</v>
      </c>
      <c r="B1551" t="s">
        <v>77</v>
      </c>
      <c r="C1551" t="s">
        <v>21</v>
      </c>
      <c r="D1551">
        <v>22</v>
      </c>
      <c r="E1551">
        <v>2316</v>
      </c>
    </row>
    <row r="1552" spans="1:5" x14ac:dyDescent="0.35">
      <c r="A1552" s="2">
        <v>44409</v>
      </c>
      <c r="B1552" t="s">
        <v>78</v>
      </c>
      <c r="C1552" t="s">
        <v>21</v>
      </c>
      <c r="D1552">
        <v>584</v>
      </c>
      <c r="E1552">
        <v>54721</v>
      </c>
    </row>
    <row r="1553" spans="1:5" x14ac:dyDescent="0.35">
      <c r="A1553" s="2">
        <v>44409</v>
      </c>
      <c r="B1553" t="s">
        <v>74</v>
      </c>
      <c r="C1553" t="s">
        <v>21</v>
      </c>
      <c r="D1553">
        <v>441</v>
      </c>
      <c r="E1553">
        <v>30342</v>
      </c>
    </row>
    <row r="1554" spans="1:5" x14ac:dyDescent="0.35">
      <c r="A1554" s="2">
        <v>44409</v>
      </c>
      <c r="B1554" t="s">
        <v>72</v>
      </c>
      <c r="C1554" t="s">
        <v>21</v>
      </c>
      <c r="D1554">
        <v>32</v>
      </c>
      <c r="E1554">
        <v>5430</v>
      </c>
    </row>
    <row r="1555" spans="1:5" x14ac:dyDescent="0.35">
      <c r="A1555" s="2">
        <v>44409</v>
      </c>
      <c r="B1555" t="s">
        <v>57</v>
      </c>
      <c r="C1555" t="s">
        <v>21</v>
      </c>
      <c r="D1555">
        <v>122</v>
      </c>
      <c r="E1555">
        <v>9978</v>
      </c>
    </row>
    <row r="1556" spans="1:5" x14ac:dyDescent="0.35">
      <c r="A1556" s="2">
        <v>44409</v>
      </c>
      <c r="B1556" t="s">
        <v>75</v>
      </c>
      <c r="C1556" t="s">
        <v>21</v>
      </c>
      <c r="D1556">
        <v>137</v>
      </c>
      <c r="E1556">
        <v>26589</v>
      </c>
    </row>
    <row r="1557" spans="1:5" x14ac:dyDescent="0.35">
      <c r="A1557" s="2">
        <v>44409</v>
      </c>
      <c r="B1557" t="s">
        <v>79</v>
      </c>
      <c r="C1557" t="s">
        <v>21</v>
      </c>
      <c r="D1557">
        <v>3319</v>
      </c>
      <c r="E1557">
        <v>79751</v>
      </c>
    </row>
    <row r="1558" spans="1:5" x14ac:dyDescent="0.35">
      <c r="A1558" s="2">
        <v>44409</v>
      </c>
      <c r="B1558" t="s">
        <v>80</v>
      </c>
      <c r="C1558" t="s">
        <v>21</v>
      </c>
      <c r="D1558">
        <v>598</v>
      </c>
      <c r="E1558">
        <v>52507</v>
      </c>
    </row>
    <row r="1559" spans="1:5" x14ac:dyDescent="0.35">
      <c r="A1559" s="2">
        <v>44409</v>
      </c>
      <c r="B1559" t="s">
        <v>68</v>
      </c>
      <c r="C1559" t="s">
        <v>21</v>
      </c>
      <c r="D1559">
        <v>457</v>
      </c>
      <c r="E1559">
        <v>67859</v>
      </c>
    </row>
    <row r="1560" spans="1:5" x14ac:dyDescent="0.35">
      <c r="A1560" s="2">
        <v>44409</v>
      </c>
      <c r="B1560" t="s">
        <v>81</v>
      </c>
      <c r="C1560" t="s">
        <v>21</v>
      </c>
      <c r="D1560">
        <v>2419</v>
      </c>
      <c r="E1560">
        <v>119076</v>
      </c>
    </row>
    <row r="1561" spans="1:5" x14ac:dyDescent="0.35">
      <c r="A1561" s="2">
        <v>44409</v>
      </c>
      <c r="B1561" t="s">
        <v>69</v>
      </c>
      <c r="C1561" t="s">
        <v>21</v>
      </c>
      <c r="D1561">
        <v>485</v>
      </c>
      <c r="E1561">
        <v>33821</v>
      </c>
    </row>
    <row r="1562" spans="1:5" x14ac:dyDescent="0.35">
      <c r="A1562" s="2">
        <v>44409</v>
      </c>
      <c r="B1562" t="s">
        <v>63</v>
      </c>
      <c r="C1562" t="s">
        <v>21</v>
      </c>
      <c r="D1562">
        <v>34</v>
      </c>
      <c r="E1562">
        <v>3496</v>
      </c>
    </row>
    <row r="1563" spans="1:5" x14ac:dyDescent="0.35">
      <c r="A1563" s="2">
        <v>44409</v>
      </c>
      <c r="B1563" t="s">
        <v>70</v>
      </c>
      <c r="C1563" t="s">
        <v>21</v>
      </c>
      <c r="D1563">
        <v>342</v>
      </c>
      <c r="E1563">
        <v>27376</v>
      </c>
    </row>
    <row r="1564" spans="1:5" x14ac:dyDescent="0.35">
      <c r="A1564" s="2">
        <v>44409</v>
      </c>
      <c r="B1564" t="s">
        <v>82</v>
      </c>
      <c r="C1564" t="s">
        <v>21</v>
      </c>
      <c r="D1564">
        <v>1451</v>
      </c>
      <c r="E1564">
        <v>57021</v>
      </c>
    </row>
    <row r="1565" spans="1:5" x14ac:dyDescent="0.35">
      <c r="A1565" s="2">
        <v>44409</v>
      </c>
      <c r="B1565" t="s">
        <v>83</v>
      </c>
      <c r="C1565" t="s">
        <v>21</v>
      </c>
      <c r="D1565">
        <v>2745</v>
      </c>
      <c r="E1565">
        <v>109440</v>
      </c>
    </row>
    <row r="1566" spans="1:5" x14ac:dyDescent="0.35">
      <c r="A1566" s="2">
        <v>44409</v>
      </c>
      <c r="B1566" t="s">
        <v>84</v>
      </c>
      <c r="C1566" t="s">
        <v>21</v>
      </c>
      <c r="D1566">
        <v>531</v>
      </c>
      <c r="E1566">
        <v>146734</v>
      </c>
    </row>
    <row r="1567" spans="1:5" x14ac:dyDescent="0.35">
      <c r="A1567" s="2">
        <v>44409</v>
      </c>
      <c r="B1567" t="s">
        <v>71</v>
      </c>
      <c r="C1567" t="s">
        <v>21</v>
      </c>
      <c r="D1567">
        <v>114</v>
      </c>
      <c r="E1567">
        <v>11192</v>
      </c>
    </row>
    <row r="1568" spans="1:5" x14ac:dyDescent="0.35">
      <c r="A1568" s="2">
        <v>44409</v>
      </c>
      <c r="B1568" t="s">
        <v>85</v>
      </c>
      <c r="C1568" t="s">
        <v>21</v>
      </c>
      <c r="D1568">
        <v>80</v>
      </c>
      <c r="E1568">
        <v>63613</v>
      </c>
    </row>
    <row r="1569" spans="1:5" x14ac:dyDescent="0.35">
      <c r="A1569" s="2">
        <v>44440</v>
      </c>
      <c r="B1569" t="s">
        <v>76</v>
      </c>
      <c r="C1569" t="s">
        <v>21</v>
      </c>
      <c r="D1569">
        <v>766</v>
      </c>
      <c r="E1569">
        <v>51764</v>
      </c>
    </row>
    <row r="1570" spans="1:5" x14ac:dyDescent="0.35">
      <c r="A1570" s="2">
        <v>44440</v>
      </c>
      <c r="B1570" t="s">
        <v>54</v>
      </c>
      <c r="C1570" t="s">
        <v>21</v>
      </c>
      <c r="D1570">
        <v>38</v>
      </c>
      <c r="E1570">
        <v>24438</v>
      </c>
    </row>
    <row r="1571" spans="1:5" x14ac:dyDescent="0.35">
      <c r="A1571" s="2">
        <v>44440</v>
      </c>
      <c r="B1571" t="s">
        <v>65</v>
      </c>
      <c r="C1571" t="s">
        <v>21</v>
      </c>
      <c r="D1571">
        <v>475</v>
      </c>
      <c r="E1571">
        <v>48021</v>
      </c>
    </row>
    <row r="1572" spans="1:5" x14ac:dyDescent="0.35">
      <c r="A1572" s="2">
        <v>44440</v>
      </c>
      <c r="B1572" t="s">
        <v>66</v>
      </c>
      <c r="C1572" t="s">
        <v>21</v>
      </c>
      <c r="D1572">
        <v>25</v>
      </c>
      <c r="E1572">
        <v>1162</v>
      </c>
    </row>
    <row r="1573" spans="1:5" x14ac:dyDescent="0.35">
      <c r="A1573" s="2">
        <v>44440</v>
      </c>
      <c r="B1573" t="s">
        <v>55</v>
      </c>
      <c r="C1573" t="s">
        <v>21</v>
      </c>
      <c r="D1573">
        <v>244</v>
      </c>
      <c r="E1573">
        <v>24790</v>
      </c>
    </row>
    <row r="1574" spans="1:5" x14ac:dyDescent="0.35">
      <c r="A1574" s="2">
        <v>44440</v>
      </c>
      <c r="B1574" t="s">
        <v>67</v>
      </c>
      <c r="C1574" t="s">
        <v>21</v>
      </c>
      <c r="D1574">
        <v>809</v>
      </c>
      <c r="E1574">
        <v>17347</v>
      </c>
    </row>
    <row r="1575" spans="1:5" x14ac:dyDescent="0.35">
      <c r="A1575" s="2">
        <v>44440</v>
      </c>
      <c r="B1575" t="s">
        <v>77</v>
      </c>
      <c r="C1575" t="s">
        <v>21</v>
      </c>
      <c r="D1575">
        <v>87</v>
      </c>
      <c r="E1575">
        <v>3081</v>
      </c>
    </row>
    <row r="1576" spans="1:5" x14ac:dyDescent="0.35">
      <c r="A1576" s="2">
        <v>44440</v>
      </c>
      <c r="B1576" t="s">
        <v>78</v>
      </c>
      <c r="C1576" t="s">
        <v>21</v>
      </c>
      <c r="D1576">
        <v>959</v>
      </c>
      <c r="E1576">
        <v>71820</v>
      </c>
    </row>
    <row r="1577" spans="1:5" x14ac:dyDescent="0.35">
      <c r="A1577" s="2">
        <v>44440</v>
      </c>
      <c r="B1577" t="s">
        <v>74</v>
      </c>
      <c r="C1577" t="s">
        <v>21</v>
      </c>
      <c r="D1577">
        <v>691</v>
      </c>
      <c r="E1577">
        <v>32590</v>
      </c>
    </row>
    <row r="1578" spans="1:5" x14ac:dyDescent="0.35">
      <c r="A1578" s="2">
        <v>44440</v>
      </c>
      <c r="B1578" t="s">
        <v>72</v>
      </c>
      <c r="C1578" t="s">
        <v>21</v>
      </c>
      <c r="D1578">
        <v>33</v>
      </c>
      <c r="E1578">
        <v>4975</v>
      </c>
    </row>
    <row r="1579" spans="1:5" x14ac:dyDescent="0.35">
      <c r="A1579" s="2">
        <v>44440</v>
      </c>
      <c r="B1579" t="s">
        <v>57</v>
      </c>
      <c r="C1579" t="s">
        <v>21</v>
      </c>
      <c r="D1579">
        <v>157</v>
      </c>
      <c r="E1579">
        <v>7354</v>
      </c>
    </row>
    <row r="1580" spans="1:5" x14ac:dyDescent="0.35">
      <c r="A1580" s="2">
        <v>44440</v>
      </c>
      <c r="B1580" t="s">
        <v>75</v>
      </c>
      <c r="C1580" t="s">
        <v>21</v>
      </c>
      <c r="D1580">
        <v>149</v>
      </c>
      <c r="E1580">
        <v>24528</v>
      </c>
    </row>
    <row r="1581" spans="1:5" x14ac:dyDescent="0.35">
      <c r="A1581" s="2">
        <v>44440</v>
      </c>
      <c r="B1581" t="s">
        <v>79</v>
      </c>
      <c r="C1581" t="s">
        <v>21</v>
      </c>
      <c r="D1581">
        <v>3539</v>
      </c>
      <c r="E1581">
        <v>80292</v>
      </c>
    </row>
    <row r="1582" spans="1:5" x14ac:dyDescent="0.35">
      <c r="A1582" s="2">
        <v>44440</v>
      </c>
      <c r="B1582" t="s">
        <v>80</v>
      </c>
      <c r="C1582" t="s">
        <v>21</v>
      </c>
      <c r="D1582">
        <v>789</v>
      </c>
      <c r="E1582">
        <v>48245</v>
      </c>
    </row>
    <row r="1583" spans="1:5" x14ac:dyDescent="0.35">
      <c r="A1583" s="2">
        <v>44440</v>
      </c>
      <c r="B1583" t="s">
        <v>68</v>
      </c>
      <c r="C1583" t="s">
        <v>21</v>
      </c>
      <c r="D1583">
        <v>590</v>
      </c>
      <c r="E1583">
        <v>65166</v>
      </c>
    </row>
    <row r="1584" spans="1:5" x14ac:dyDescent="0.35">
      <c r="A1584" s="2">
        <v>44440</v>
      </c>
      <c r="B1584" t="s">
        <v>81</v>
      </c>
      <c r="C1584" t="s">
        <v>21</v>
      </c>
      <c r="D1584">
        <v>2166</v>
      </c>
      <c r="E1584">
        <v>92351</v>
      </c>
    </row>
    <row r="1585" spans="1:5" x14ac:dyDescent="0.35">
      <c r="A1585" s="2">
        <v>44440</v>
      </c>
      <c r="B1585" t="s">
        <v>69</v>
      </c>
      <c r="C1585" t="s">
        <v>21</v>
      </c>
      <c r="D1585">
        <v>490</v>
      </c>
      <c r="E1585">
        <v>28355</v>
      </c>
    </row>
    <row r="1586" spans="1:5" x14ac:dyDescent="0.35">
      <c r="A1586" s="2">
        <v>44440</v>
      </c>
      <c r="B1586" t="s">
        <v>63</v>
      </c>
      <c r="C1586" t="s">
        <v>21</v>
      </c>
      <c r="D1586">
        <v>48</v>
      </c>
      <c r="E1586">
        <v>3211</v>
      </c>
    </row>
    <row r="1587" spans="1:5" x14ac:dyDescent="0.35">
      <c r="A1587" s="2">
        <v>44440</v>
      </c>
      <c r="B1587" t="s">
        <v>70</v>
      </c>
      <c r="C1587" t="s">
        <v>21</v>
      </c>
      <c r="D1587">
        <v>487</v>
      </c>
      <c r="E1587">
        <v>24819</v>
      </c>
    </row>
    <row r="1588" spans="1:5" x14ac:dyDescent="0.35">
      <c r="A1588" s="2">
        <v>44440</v>
      </c>
      <c r="B1588" t="s">
        <v>82</v>
      </c>
      <c r="C1588" t="s">
        <v>21</v>
      </c>
      <c r="D1588">
        <v>1625</v>
      </c>
      <c r="E1588">
        <v>48502</v>
      </c>
    </row>
    <row r="1589" spans="1:5" x14ac:dyDescent="0.35">
      <c r="A1589" s="2">
        <v>44440</v>
      </c>
      <c r="B1589" t="s">
        <v>83</v>
      </c>
      <c r="C1589" t="s">
        <v>21</v>
      </c>
      <c r="D1589">
        <v>2880</v>
      </c>
      <c r="E1589">
        <v>108477</v>
      </c>
    </row>
    <row r="1590" spans="1:5" x14ac:dyDescent="0.35">
      <c r="A1590" s="2">
        <v>44440</v>
      </c>
      <c r="B1590" t="s">
        <v>84</v>
      </c>
      <c r="C1590" t="s">
        <v>21</v>
      </c>
      <c r="D1590">
        <v>730</v>
      </c>
      <c r="E1590">
        <v>132962</v>
      </c>
    </row>
    <row r="1591" spans="1:5" x14ac:dyDescent="0.35">
      <c r="A1591" s="2">
        <v>44440</v>
      </c>
      <c r="B1591" t="s">
        <v>71</v>
      </c>
      <c r="C1591" t="s">
        <v>21</v>
      </c>
      <c r="D1591">
        <v>169</v>
      </c>
      <c r="E1591">
        <v>9926</v>
      </c>
    </row>
    <row r="1592" spans="1:5" x14ac:dyDescent="0.35">
      <c r="A1592" s="2">
        <v>44440</v>
      </c>
      <c r="B1592" t="s">
        <v>85</v>
      </c>
      <c r="C1592" t="s">
        <v>21</v>
      </c>
      <c r="D1592">
        <v>84</v>
      </c>
      <c r="E1592">
        <v>65430</v>
      </c>
    </row>
    <row r="1593" spans="1:5" x14ac:dyDescent="0.35">
      <c r="A1593" s="2">
        <v>44470</v>
      </c>
      <c r="B1593" t="s">
        <v>76</v>
      </c>
      <c r="C1593" t="s">
        <v>21</v>
      </c>
      <c r="D1593">
        <v>993</v>
      </c>
      <c r="E1593">
        <v>88110</v>
      </c>
    </row>
    <row r="1594" spans="1:5" x14ac:dyDescent="0.35">
      <c r="A1594" s="2">
        <v>44470</v>
      </c>
      <c r="B1594" t="s">
        <v>54</v>
      </c>
      <c r="C1594" t="s">
        <v>21</v>
      </c>
      <c r="D1594">
        <v>28</v>
      </c>
      <c r="E1594">
        <v>32155</v>
      </c>
    </row>
    <row r="1595" spans="1:5" x14ac:dyDescent="0.35">
      <c r="A1595" s="2">
        <v>44470</v>
      </c>
      <c r="B1595" t="s">
        <v>65</v>
      </c>
      <c r="C1595" t="s">
        <v>21</v>
      </c>
      <c r="D1595">
        <v>470</v>
      </c>
      <c r="E1595">
        <v>50679</v>
      </c>
    </row>
    <row r="1596" spans="1:5" x14ac:dyDescent="0.35">
      <c r="A1596" s="2">
        <v>44470</v>
      </c>
      <c r="B1596" t="s">
        <v>66</v>
      </c>
      <c r="C1596" t="s">
        <v>21</v>
      </c>
      <c r="D1596">
        <v>18</v>
      </c>
      <c r="E1596">
        <v>1792</v>
      </c>
    </row>
    <row r="1597" spans="1:5" x14ac:dyDescent="0.35">
      <c r="A1597" s="2">
        <v>44470</v>
      </c>
      <c r="B1597" t="s">
        <v>55</v>
      </c>
      <c r="C1597" t="s">
        <v>21</v>
      </c>
      <c r="D1597">
        <v>301</v>
      </c>
      <c r="E1597">
        <v>33464</v>
      </c>
    </row>
    <row r="1598" spans="1:5" x14ac:dyDescent="0.35">
      <c r="A1598" s="2">
        <v>44470</v>
      </c>
      <c r="B1598" t="s">
        <v>67</v>
      </c>
      <c r="C1598" t="s">
        <v>21</v>
      </c>
      <c r="D1598">
        <v>995</v>
      </c>
      <c r="E1598">
        <v>26087</v>
      </c>
    </row>
    <row r="1599" spans="1:5" x14ac:dyDescent="0.35">
      <c r="A1599" s="2">
        <v>44470</v>
      </c>
      <c r="B1599" t="s">
        <v>77</v>
      </c>
      <c r="C1599" t="s">
        <v>21</v>
      </c>
      <c r="D1599">
        <v>163</v>
      </c>
      <c r="E1599">
        <v>3914</v>
      </c>
    </row>
    <row r="1600" spans="1:5" x14ac:dyDescent="0.35">
      <c r="A1600" s="2">
        <v>44470</v>
      </c>
      <c r="B1600" t="s">
        <v>78</v>
      </c>
      <c r="C1600" t="s">
        <v>21</v>
      </c>
      <c r="D1600">
        <v>1460</v>
      </c>
      <c r="E1600">
        <v>84700</v>
      </c>
    </row>
    <row r="1601" spans="1:5" x14ac:dyDescent="0.35">
      <c r="A1601" s="2">
        <v>44470</v>
      </c>
      <c r="B1601" t="s">
        <v>74</v>
      </c>
      <c r="C1601" t="s">
        <v>21</v>
      </c>
      <c r="D1601">
        <v>505</v>
      </c>
      <c r="E1601">
        <v>26891</v>
      </c>
    </row>
    <row r="1602" spans="1:5" x14ac:dyDescent="0.35">
      <c r="A1602" s="2">
        <v>44470</v>
      </c>
      <c r="B1602" t="s">
        <v>72</v>
      </c>
      <c r="C1602" t="s">
        <v>21</v>
      </c>
      <c r="D1602">
        <v>29</v>
      </c>
      <c r="E1602">
        <v>4651</v>
      </c>
    </row>
    <row r="1603" spans="1:5" x14ac:dyDescent="0.35">
      <c r="A1603" s="2">
        <v>44470</v>
      </c>
      <c r="B1603" t="s">
        <v>57</v>
      </c>
      <c r="C1603" t="s">
        <v>21</v>
      </c>
      <c r="D1603">
        <v>199</v>
      </c>
      <c r="E1603">
        <v>8601</v>
      </c>
    </row>
    <row r="1604" spans="1:5" x14ac:dyDescent="0.35">
      <c r="A1604" s="2">
        <v>44470</v>
      </c>
      <c r="B1604" t="s">
        <v>75</v>
      </c>
      <c r="C1604" t="s">
        <v>21</v>
      </c>
      <c r="D1604">
        <v>253</v>
      </c>
      <c r="E1604">
        <v>28877</v>
      </c>
    </row>
    <row r="1605" spans="1:5" x14ac:dyDescent="0.35">
      <c r="A1605" s="2">
        <v>44470</v>
      </c>
      <c r="B1605" t="s">
        <v>79</v>
      </c>
      <c r="C1605" t="s">
        <v>21</v>
      </c>
      <c r="D1605">
        <v>3709</v>
      </c>
      <c r="E1605">
        <v>76401</v>
      </c>
    </row>
    <row r="1606" spans="1:5" x14ac:dyDescent="0.35">
      <c r="A1606" s="2">
        <v>44470</v>
      </c>
      <c r="B1606" t="s">
        <v>80</v>
      </c>
      <c r="C1606" t="s">
        <v>21</v>
      </c>
      <c r="D1606">
        <v>833</v>
      </c>
      <c r="E1606">
        <v>42377</v>
      </c>
    </row>
    <row r="1607" spans="1:5" x14ac:dyDescent="0.35">
      <c r="A1607" s="2">
        <v>44470</v>
      </c>
      <c r="B1607" t="s">
        <v>58</v>
      </c>
      <c r="C1607" t="s">
        <v>21</v>
      </c>
      <c r="D1607">
        <v>6</v>
      </c>
      <c r="E1607">
        <v>18</v>
      </c>
    </row>
    <row r="1608" spans="1:5" x14ac:dyDescent="0.35">
      <c r="A1608" s="2">
        <v>44470</v>
      </c>
      <c r="B1608" t="s">
        <v>68</v>
      </c>
      <c r="C1608" t="s">
        <v>21</v>
      </c>
      <c r="D1608">
        <v>545</v>
      </c>
      <c r="E1608">
        <v>52075</v>
      </c>
    </row>
    <row r="1609" spans="1:5" x14ac:dyDescent="0.35">
      <c r="A1609" s="2">
        <v>44470</v>
      </c>
      <c r="B1609" t="s">
        <v>81</v>
      </c>
      <c r="C1609" t="s">
        <v>21</v>
      </c>
      <c r="D1609">
        <v>3554</v>
      </c>
      <c r="E1609">
        <v>131332</v>
      </c>
    </row>
    <row r="1610" spans="1:5" x14ac:dyDescent="0.35">
      <c r="A1610" s="2">
        <v>44470</v>
      </c>
      <c r="B1610" t="s">
        <v>59</v>
      </c>
      <c r="C1610" t="s">
        <v>21</v>
      </c>
      <c r="D1610">
        <v>6</v>
      </c>
      <c r="E1610">
        <v>2098</v>
      </c>
    </row>
    <row r="1611" spans="1:5" x14ac:dyDescent="0.35">
      <c r="A1611" s="2">
        <v>44470</v>
      </c>
      <c r="B1611" t="s">
        <v>69</v>
      </c>
      <c r="C1611" t="s">
        <v>21</v>
      </c>
      <c r="D1611">
        <v>948</v>
      </c>
      <c r="E1611">
        <v>52708</v>
      </c>
    </row>
    <row r="1612" spans="1:5" x14ac:dyDescent="0.35">
      <c r="A1612" s="2">
        <v>44470</v>
      </c>
      <c r="B1612" t="s">
        <v>63</v>
      </c>
      <c r="C1612" t="s">
        <v>21</v>
      </c>
      <c r="D1612">
        <v>31</v>
      </c>
      <c r="E1612">
        <v>2839</v>
      </c>
    </row>
    <row r="1613" spans="1:5" x14ac:dyDescent="0.35">
      <c r="A1613" s="2">
        <v>44470</v>
      </c>
      <c r="B1613" t="s">
        <v>70</v>
      </c>
      <c r="C1613" t="s">
        <v>21</v>
      </c>
      <c r="D1613">
        <v>416</v>
      </c>
      <c r="E1613">
        <v>29940</v>
      </c>
    </row>
    <row r="1614" spans="1:5" x14ac:dyDescent="0.35">
      <c r="A1614" s="2">
        <v>44470</v>
      </c>
      <c r="B1614" t="s">
        <v>82</v>
      </c>
      <c r="C1614" t="s">
        <v>21</v>
      </c>
      <c r="D1614">
        <v>1602</v>
      </c>
      <c r="E1614">
        <v>65626</v>
      </c>
    </row>
    <row r="1615" spans="1:5" x14ac:dyDescent="0.35">
      <c r="A1615" s="2">
        <v>44470</v>
      </c>
      <c r="B1615" t="s">
        <v>83</v>
      </c>
      <c r="C1615" t="s">
        <v>21</v>
      </c>
      <c r="D1615">
        <v>2530</v>
      </c>
      <c r="E1615">
        <v>85674</v>
      </c>
    </row>
    <row r="1616" spans="1:5" x14ac:dyDescent="0.35">
      <c r="A1616" s="2">
        <v>44470</v>
      </c>
      <c r="B1616" t="s">
        <v>84</v>
      </c>
      <c r="C1616" t="s">
        <v>21</v>
      </c>
      <c r="D1616">
        <v>1022</v>
      </c>
      <c r="E1616">
        <v>129924</v>
      </c>
    </row>
    <row r="1617" spans="1:5" x14ac:dyDescent="0.35">
      <c r="A1617" s="2">
        <v>44470</v>
      </c>
      <c r="B1617" t="s">
        <v>71</v>
      </c>
      <c r="C1617" t="s">
        <v>21</v>
      </c>
      <c r="D1617">
        <v>129</v>
      </c>
      <c r="E1617">
        <v>12826</v>
      </c>
    </row>
    <row r="1618" spans="1:5" x14ac:dyDescent="0.35">
      <c r="A1618" s="2">
        <v>44470</v>
      </c>
      <c r="B1618" t="s">
        <v>85</v>
      </c>
      <c r="C1618" t="s">
        <v>21</v>
      </c>
      <c r="D1618">
        <v>67</v>
      </c>
      <c r="E1618">
        <v>53475</v>
      </c>
    </row>
    <row r="1619" spans="1:5" x14ac:dyDescent="0.35">
      <c r="A1619" s="2">
        <v>44501</v>
      </c>
      <c r="B1619" t="s">
        <v>76</v>
      </c>
      <c r="C1619" t="s">
        <v>21</v>
      </c>
      <c r="D1619">
        <v>1114</v>
      </c>
      <c r="E1619">
        <v>64835</v>
      </c>
    </row>
    <row r="1620" spans="1:5" x14ac:dyDescent="0.35">
      <c r="A1620" s="2">
        <v>44501</v>
      </c>
      <c r="B1620" t="s">
        <v>54</v>
      </c>
      <c r="C1620" t="s">
        <v>21</v>
      </c>
      <c r="D1620">
        <v>120</v>
      </c>
      <c r="E1620">
        <v>29586</v>
      </c>
    </row>
    <row r="1621" spans="1:5" x14ac:dyDescent="0.35">
      <c r="A1621" s="2">
        <v>44501</v>
      </c>
      <c r="B1621" t="s">
        <v>65</v>
      </c>
      <c r="C1621" t="s">
        <v>21</v>
      </c>
      <c r="D1621">
        <v>604</v>
      </c>
      <c r="E1621">
        <v>107209</v>
      </c>
    </row>
    <row r="1622" spans="1:5" x14ac:dyDescent="0.35">
      <c r="A1622" s="2">
        <v>44501</v>
      </c>
      <c r="B1622" t="s">
        <v>66</v>
      </c>
      <c r="C1622" t="s">
        <v>21</v>
      </c>
      <c r="D1622">
        <v>79</v>
      </c>
      <c r="E1622">
        <v>2083</v>
      </c>
    </row>
    <row r="1623" spans="1:5" x14ac:dyDescent="0.35">
      <c r="A1623" s="2">
        <v>44501</v>
      </c>
      <c r="B1623" t="s">
        <v>55</v>
      </c>
      <c r="C1623" t="s">
        <v>21</v>
      </c>
      <c r="D1623">
        <v>509</v>
      </c>
      <c r="E1623">
        <v>63099</v>
      </c>
    </row>
    <row r="1624" spans="1:5" x14ac:dyDescent="0.35">
      <c r="A1624" s="2">
        <v>44501</v>
      </c>
      <c r="B1624" t="s">
        <v>67</v>
      </c>
      <c r="C1624" t="s">
        <v>21</v>
      </c>
      <c r="D1624">
        <v>1269</v>
      </c>
      <c r="E1624">
        <v>37710</v>
      </c>
    </row>
    <row r="1625" spans="1:5" x14ac:dyDescent="0.35">
      <c r="A1625" s="2">
        <v>44501</v>
      </c>
      <c r="B1625" t="s">
        <v>77</v>
      </c>
      <c r="C1625" t="s">
        <v>21</v>
      </c>
      <c r="D1625">
        <v>178</v>
      </c>
      <c r="E1625">
        <v>4104</v>
      </c>
    </row>
    <row r="1626" spans="1:5" x14ac:dyDescent="0.35">
      <c r="A1626" s="2">
        <v>44501</v>
      </c>
      <c r="B1626" t="s">
        <v>78</v>
      </c>
      <c r="C1626" t="s">
        <v>21</v>
      </c>
      <c r="D1626">
        <v>1569</v>
      </c>
      <c r="E1626">
        <v>110759</v>
      </c>
    </row>
    <row r="1627" spans="1:5" x14ac:dyDescent="0.35">
      <c r="A1627" s="2">
        <v>44501</v>
      </c>
      <c r="B1627" t="s">
        <v>74</v>
      </c>
      <c r="C1627" t="s">
        <v>21</v>
      </c>
      <c r="D1627">
        <v>871</v>
      </c>
      <c r="E1627">
        <v>43957</v>
      </c>
    </row>
    <row r="1628" spans="1:5" x14ac:dyDescent="0.35">
      <c r="A1628" s="2">
        <v>44501</v>
      </c>
      <c r="B1628" t="s">
        <v>72</v>
      </c>
      <c r="C1628" t="s">
        <v>21</v>
      </c>
      <c r="D1628">
        <v>61</v>
      </c>
      <c r="E1628">
        <v>7398</v>
      </c>
    </row>
    <row r="1629" spans="1:5" x14ac:dyDescent="0.35">
      <c r="A1629" s="2">
        <v>44501</v>
      </c>
      <c r="B1629" t="s">
        <v>57</v>
      </c>
      <c r="C1629" t="s">
        <v>21</v>
      </c>
      <c r="D1629">
        <v>64</v>
      </c>
      <c r="E1629">
        <v>8083</v>
      </c>
    </row>
    <row r="1630" spans="1:5" x14ac:dyDescent="0.35">
      <c r="A1630" s="2">
        <v>44501</v>
      </c>
      <c r="B1630" t="s">
        <v>75</v>
      </c>
      <c r="C1630" t="s">
        <v>21</v>
      </c>
      <c r="D1630">
        <v>370</v>
      </c>
      <c r="E1630">
        <v>51355</v>
      </c>
    </row>
    <row r="1631" spans="1:5" x14ac:dyDescent="0.35">
      <c r="A1631" s="2">
        <v>44501</v>
      </c>
      <c r="B1631" t="s">
        <v>79</v>
      </c>
      <c r="C1631" t="s">
        <v>21</v>
      </c>
      <c r="D1631">
        <v>3430</v>
      </c>
      <c r="E1631">
        <v>74444</v>
      </c>
    </row>
    <row r="1632" spans="1:5" x14ac:dyDescent="0.35">
      <c r="A1632" s="2">
        <v>44501</v>
      </c>
      <c r="B1632" t="s">
        <v>80</v>
      </c>
      <c r="C1632" t="s">
        <v>21</v>
      </c>
      <c r="D1632">
        <v>948</v>
      </c>
      <c r="E1632">
        <v>43718</v>
      </c>
    </row>
    <row r="1633" spans="1:5" x14ac:dyDescent="0.35">
      <c r="A1633" s="2">
        <v>44501</v>
      </c>
      <c r="B1633" t="s">
        <v>68</v>
      </c>
      <c r="C1633" t="s">
        <v>21</v>
      </c>
      <c r="D1633">
        <v>940</v>
      </c>
      <c r="E1633">
        <v>99568</v>
      </c>
    </row>
    <row r="1634" spans="1:5" x14ac:dyDescent="0.35">
      <c r="A1634" s="2">
        <v>44501</v>
      </c>
      <c r="B1634" t="s">
        <v>81</v>
      </c>
      <c r="C1634" t="s">
        <v>21</v>
      </c>
      <c r="D1634">
        <v>3684</v>
      </c>
      <c r="E1634">
        <v>168326</v>
      </c>
    </row>
    <row r="1635" spans="1:5" x14ac:dyDescent="0.35">
      <c r="A1635" s="2">
        <v>44501</v>
      </c>
      <c r="B1635" t="s">
        <v>59</v>
      </c>
      <c r="C1635" t="s">
        <v>21</v>
      </c>
      <c r="D1635">
        <v>3</v>
      </c>
      <c r="E1635">
        <v>2490</v>
      </c>
    </row>
    <row r="1636" spans="1:5" x14ac:dyDescent="0.35">
      <c r="A1636" s="2">
        <v>44501</v>
      </c>
      <c r="B1636" t="s">
        <v>69</v>
      </c>
      <c r="C1636" t="s">
        <v>21</v>
      </c>
      <c r="D1636">
        <v>843</v>
      </c>
      <c r="E1636">
        <v>41128</v>
      </c>
    </row>
    <row r="1637" spans="1:5" x14ac:dyDescent="0.35">
      <c r="A1637" s="2">
        <v>44501</v>
      </c>
      <c r="B1637" t="s">
        <v>63</v>
      </c>
      <c r="C1637" t="s">
        <v>21</v>
      </c>
      <c r="D1637">
        <v>47</v>
      </c>
      <c r="E1637">
        <v>2889</v>
      </c>
    </row>
    <row r="1638" spans="1:5" x14ac:dyDescent="0.35">
      <c r="A1638" s="2">
        <v>44501</v>
      </c>
      <c r="B1638" t="s">
        <v>70</v>
      </c>
      <c r="C1638" t="s">
        <v>21</v>
      </c>
      <c r="D1638">
        <v>803</v>
      </c>
      <c r="E1638">
        <v>46549</v>
      </c>
    </row>
    <row r="1639" spans="1:5" x14ac:dyDescent="0.35">
      <c r="A1639" s="2">
        <v>44501</v>
      </c>
      <c r="B1639" t="s">
        <v>82</v>
      </c>
      <c r="C1639" t="s">
        <v>21</v>
      </c>
      <c r="D1639">
        <v>2265</v>
      </c>
      <c r="E1639">
        <v>141368</v>
      </c>
    </row>
    <row r="1640" spans="1:5" x14ac:dyDescent="0.35">
      <c r="A1640" s="2">
        <v>44501</v>
      </c>
      <c r="B1640" t="s">
        <v>83</v>
      </c>
      <c r="C1640" t="s">
        <v>21</v>
      </c>
      <c r="D1640">
        <v>2844</v>
      </c>
      <c r="E1640">
        <v>111203</v>
      </c>
    </row>
    <row r="1641" spans="1:5" x14ac:dyDescent="0.35">
      <c r="A1641" s="2">
        <v>44501</v>
      </c>
      <c r="B1641" t="s">
        <v>84</v>
      </c>
      <c r="C1641" t="s">
        <v>21</v>
      </c>
      <c r="D1641">
        <v>1347</v>
      </c>
      <c r="E1641">
        <v>225370</v>
      </c>
    </row>
    <row r="1642" spans="1:5" x14ac:dyDescent="0.35">
      <c r="A1642" s="2">
        <v>44501</v>
      </c>
      <c r="B1642" t="s">
        <v>71</v>
      </c>
      <c r="C1642" t="s">
        <v>21</v>
      </c>
      <c r="D1642">
        <v>262</v>
      </c>
      <c r="E1642">
        <v>20977</v>
      </c>
    </row>
    <row r="1643" spans="1:5" x14ac:dyDescent="0.35">
      <c r="A1643" s="2">
        <v>44501</v>
      </c>
      <c r="B1643" t="s">
        <v>85</v>
      </c>
      <c r="C1643" t="s">
        <v>21</v>
      </c>
      <c r="D1643">
        <v>309</v>
      </c>
      <c r="E1643">
        <v>79819</v>
      </c>
    </row>
    <row r="1644" spans="1:5" x14ac:dyDescent="0.35">
      <c r="A1644" s="2">
        <v>44531</v>
      </c>
      <c r="B1644" t="s">
        <v>76</v>
      </c>
      <c r="C1644" t="s">
        <v>21</v>
      </c>
      <c r="D1644">
        <v>985</v>
      </c>
      <c r="E1644">
        <v>42446</v>
      </c>
    </row>
    <row r="1645" spans="1:5" x14ac:dyDescent="0.35">
      <c r="A1645" s="2">
        <v>44531</v>
      </c>
      <c r="B1645" t="s">
        <v>54</v>
      </c>
      <c r="C1645" t="s">
        <v>21</v>
      </c>
      <c r="D1645">
        <v>93</v>
      </c>
      <c r="E1645">
        <v>28392</v>
      </c>
    </row>
    <row r="1646" spans="1:5" x14ac:dyDescent="0.35">
      <c r="A1646" s="2">
        <v>44531</v>
      </c>
      <c r="B1646" t="s">
        <v>65</v>
      </c>
      <c r="C1646" t="s">
        <v>21</v>
      </c>
      <c r="D1646">
        <v>467</v>
      </c>
      <c r="E1646">
        <v>63454</v>
      </c>
    </row>
    <row r="1647" spans="1:5" x14ac:dyDescent="0.35">
      <c r="A1647" s="2">
        <v>44531</v>
      </c>
      <c r="B1647" t="s">
        <v>66</v>
      </c>
      <c r="C1647" t="s">
        <v>21</v>
      </c>
      <c r="D1647">
        <v>30</v>
      </c>
      <c r="E1647">
        <v>1252</v>
      </c>
    </row>
    <row r="1648" spans="1:5" x14ac:dyDescent="0.35">
      <c r="A1648" s="2">
        <v>44531</v>
      </c>
      <c r="B1648" t="s">
        <v>55</v>
      </c>
      <c r="C1648" t="s">
        <v>21</v>
      </c>
      <c r="D1648">
        <v>500</v>
      </c>
      <c r="E1648">
        <v>24772</v>
      </c>
    </row>
    <row r="1649" spans="1:5" x14ac:dyDescent="0.35">
      <c r="A1649" s="2">
        <v>44531</v>
      </c>
      <c r="B1649" t="s">
        <v>56</v>
      </c>
      <c r="C1649" t="s">
        <v>21</v>
      </c>
      <c r="D1649">
        <v>4</v>
      </c>
      <c r="E1649">
        <v>1100</v>
      </c>
    </row>
    <row r="1650" spans="1:5" x14ac:dyDescent="0.35">
      <c r="A1650" s="2">
        <v>44531</v>
      </c>
      <c r="B1650" t="s">
        <v>67</v>
      </c>
      <c r="C1650" t="s">
        <v>21</v>
      </c>
      <c r="D1650">
        <v>1258</v>
      </c>
      <c r="E1650">
        <v>18687</v>
      </c>
    </row>
    <row r="1651" spans="1:5" x14ac:dyDescent="0.35">
      <c r="A1651" s="2">
        <v>44531</v>
      </c>
      <c r="B1651" t="s">
        <v>77</v>
      </c>
      <c r="C1651" t="s">
        <v>21</v>
      </c>
      <c r="D1651">
        <v>153</v>
      </c>
      <c r="E1651">
        <v>3468</v>
      </c>
    </row>
    <row r="1652" spans="1:5" x14ac:dyDescent="0.35">
      <c r="A1652" s="2">
        <v>44531</v>
      </c>
      <c r="B1652" t="s">
        <v>78</v>
      </c>
      <c r="C1652" t="s">
        <v>21</v>
      </c>
      <c r="D1652">
        <v>2111</v>
      </c>
      <c r="E1652">
        <v>92992</v>
      </c>
    </row>
    <row r="1653" spans="1:5" x14ac:dyDescent="0.35">
      <c r="A1653" s="2">
        <v>44531</v>
      </c>
      <c r="B1653" t="s">
        <v>74</v>
      </c>
      <c r="C1653" t="s">
        <v>21</v>
      </c>
      <c r="D1653">
        <v>670</v>
      </c>
      <c r="E1653">
        <v>40694</v>
      </c>
    </row>
    <row r="1654" spans="1:5" x14ac:dyDescent="0.35">
      <c r="A1654" s="2">
        <v>44531</v>
      </c>
      <c r="B1654" t="s">
        <v>72</v>
      </c>
      <c r="C1654" t="s">
        <v>21</v>
      </c>
      <c r="D1654">
        <v>73</v>
      </c>
      <c r="E1654">
        <v>6044</v>
      </c>
    </row>
    <row r="1655" spans="1:5" x14ac:dyDescent="0.35">
      <c r="A1655" s="2">
        <v>44531</v>
      </c>
      <c r="B1655" t="s">
        <v>57</v>
      </c>
      <c r="C1655" t="s">
        <v>21</v>
      </c>
      <c r="D1655">
        <v>110</v>
      </c>
      <c r="E1655">
        <v>4076</v>
      </c>
    </row>
    <row r="1656" spans="1:5" x14ac:dyDescent="0.35">
      <c r="A1656" s="2">
        <v>44531</v>
      </c>
      <c r="B1656" t="s">
        <v>75</v>
      </c>
      <c r="C1656" t="s">
        <v>21</v>
      </c>
      <c r="D1656">
        <v>293</v>
      </c>
      <c r="E1656">
        <v>26077</v>
      </c>
    </row>
    <row r="1657" spans="1:5" x14ac:dyDescent="0.35">
      <c r="A1657" s="2">
        <v>44531</v>
      </c>
      <c r="B1657" t="s">
        <v>79</v>
      </c>
      <c r="C1657" t="s">
        <v>21</v>
      </c>
      <c r="D1657">
        <v>4381</v>
      </c>
      <c r="E1657">
        <v>83147</v>
      </c>
    </row>
    <row r="1658" spans="1:5" x14ac:dyDescent="0.35">
      <c r="A1658" s="2">
        <v>44531</v>
      </c>
      <c r="B1658" t="s">
        <v>80</v>
      </c>
      <c r="C1658" t="s">
        <v>21</v>
      </c>
      <c r="D1658">
        <v>1107</v>
      </c>
      <c r="E1658">
        <v>43996</v>
      </c>
    </row>
    <row r="1659" spans="1:5" x14ac:dyDescent="0.35">
      <c r="A1659" s="2">
        <v>44531</v>
      </c>
      <c r="B1659" t="s">
        <v>68</v>
      </c>
      <c r="C1659" t="s">
        <v>21</v>
      </c>
      <c r="D1659">
        <v>901</v>
      </c>
      <c r="E1659">
        <v>110877</v>
      </c>
    </row>
    <row r="1660" spans="1:5" x14ac:dyDescent="0.35">
      <c r="A1660" s="2">
        <v>44531</v>
      </c>
      <c r="B1660" t="s">
        <v>81</v>
      </c>
      <c r="C1660" t="s">
        <v>21</v>
      </c>
      <c r="D1660">
        <v>4775</v>
      </c>
      <c r="E1660">
        <v>134502</v>
      </c>
    </row>
    <row r="1661" spans="1:5" x14ac:dyDescent="0.35">
      <c r="A1661" s="2">
        <v>44531</v>
      </c>
      <c r="B1661" t="s">
        <v>59</v>
      </c>
      <c r="C1661" t="s">
        <v>21</v>
      </c>
      <c r="D1661">
        <v>4</v>
      </c>
      <c r="E1661">
        <v>3649</v>
      </c>
    </row>
    <row r="1662" spans="1:5" x14ac:dyDescent="0.35">
      <c r="A1662" s="2">
        <v>44531</v>
      </c>
      <c r="B1662" t="s">
        <v>69</v>
      </c>
      <c r="C1662" t="s">
        <v>21</v>
      </c>
      <c r="D1662">
        <v>939</v>
      </c>
      <c r="E1662">
        <v>26693</v>
      </c>
    </row>
    <row r="1663" spans="1:5" x14ac:dyDescent="0.35">
      <c r="A1663" s="2">
        <v>44531</v>
      </c>
      <c r="B1663" t="s">
        <v>63</v>
      </c>
      <c r="C1663" t="s">
        <v>21</v>
      </c>
      <c r="D1663">
        <v>81</v>
      </c>
      <c r="E1663">
        <v>2589</v>
      </c>
    </row>
    <row r="1664" spans="1:5" x14ac:dyDescent="0.35">
      <c r="A1664" s="2">
        <v>44531</v>
      </c>
      <c r="B1664" t="s">
        <v>70</v>
      </c>
      <c r="C1664" t="s">
        <v>21</v>
      </c>
      <c r="D1664">
        <v>450</v>
      </c>
      <c r="E1664">
        <v>35287</v>
      </c>
    </row>
    <row r="1665" spans="1:5" x14ac:dyDescent="0.35">
      <c r="A1665" s="2">
        <v>44531</v>
      </c>
      <c r="B1665" t="s">
        <v>82</v>
      </c>
      <c r="C1665" t="s">
        <v>21</v>
      </c>
      <c r="D1665">
        <v>2119</v>
      </c>
      <c r="E1665">
        <v>61061</v>
      </c>
    </row>
    <row r="1666" spans="1:5" x14ac:dyDescent="0.35">
      <c r="A1666" s="2">
        <v>44531</v>
      </c>
      <c r="B1666" t="s">
        <v>83</v>
      </c>
      <c r="C1666" t="s">
        <v>21</v>
      </c>
      <c r="D1666">
        <v>3236</v>
      </c>
      <c r="E1666">
        <v>83485</v>
      </c>
    </row>
    <row r="1667" spans="1:5" x14ac:dyDescent="0.35">
      <c r="A1667" s="2">
        <v>44531</v>
      </c>
      <c r="B1667" t="s">
        <v>84</v>
      </c>
      <c r="C1667" t="s">
        <v>21</v>
      </c>
      <c r="D1667">
        <v>1371</v>
      </c>
      <c r="E1667">
        <v>268713</v>
      </c>
    </row>
    <row r="1668" spans="1:5" x14ac:dyDescent="0.35">
      <c r="A1668" s="2">
        <v>44531</v>
      </c>
      <c r="B1668" t="s">
        <v>71</v>
      </c>
      <c r="C1668" t="s">
        <v>21</v>
      </c>
      <c r="D1668">
        <v>229</v>
      </c>
      <c r="E1668">
        <v>12632</v>
      </c>
    </row>
    <row r="1669" spans="1:5" x14ac:dyDescent="0.35">
      <c r="A1669" s="2">
        <v>44531</v>
      </c>
      <c r="B1669" t="s">
        <v>85</v>
      </c>
      <c r="C1669" t="s">
        <v>21</v>
      </c>
      <c r="D1669">
        <v>285</v>
      </c>
      <c r="E1669">
        <v>73989</v>
      </c>
    </row>
    <row r="1670" spans="1:5" x14ac:dyDescent="0.35">
      <c r="A1670" s="2">
        <v>44562</v>
      </c>
      <c r="B1670" t="s">
        <v>76</v>
      </c>
      <c r="C1670" t="s">
        <v>21</v>
      </c>
      <c r="D1670">
        <v>1671</v>
      </c>
      <c r="E1670">
        <v>59712</v>
      </c>
    </row>
    <row r="1671" spans="1:5" x14ac:dyDescent="0.35">
      <c r="A1671" s="2">
        <v>44562</v>
      </c>
      <c r="B1671" t="s">
        <v>54</v>
      </c>
      <c r="C1671" t="s">
        <v>21</v>
      </c>
      <c r="D1671">
        <v>92</v>
      </c>
      <c r="E1671">
        <v>26097</v>
      </c>
    </row>
    <row r="1672" spans="1:5" x14ac:dyDescent="0.35">
      <c r="A1672" s="2">
        <v>44562</v>
      </c>
      <c r="B1672" t="s">
        <v>65</v>
      </c>
      <c r="C1672" t="s">
        <v>21</v>
      </c>
      <c r="D1672">
        <v>409</v>
      </c>
      <c r="E1672">
        <v>51380</v>
      </c>
    </row>
    <row r="1673" spans="1:5" x14ac:dyDescent="0.35">
      <c r="A1673" s="2">
        <v>44562</v>
      </c>
      <c r="B1673" t="s">
        <v>66</v>
      </c>
      <c r="C1673" t="s">
        <v>21</v>
      </c>
      <c r="D1673">
        <v>19</v>
      </c>
      <c r="E1673">
        <v>1291</v>
      </c>
    </row>
    <row r="1674" spans="1:5" x14ac:dyDescent="0.35">
      <c r="A1674" s="2">
        <v>44562</v>
      </c>
      <c r="B1674" t="s">
        <v>55</v>
      </c>
      <c r="C1674" t="s">
        <v>21</v>
      </c>
      <c r="D1674">
        <v>595</v>
      </c>
      <c r="E1674">
        <v>31989</v>
      </c>
    </row>
    <row r="1675" spans="1:5" x14ac:dyDescent="0.35">
      <c r="A1675" s="2">
        <v>44562</v>
      </c>
      <c r="B1675" t="s">
        <v>56</v>
      </c>
      <c r="C1675" t="s">
        <v>21</v>
      </c>
      <c r="D1675">
        <v>6</v>
      </c>
      <c r="E1675">
        <v>758</v>
      </c>
    </row>
    <row r="1676" spans="1:5" x14ac:dyDescent="0.35">
      <c r="A1676" s="2">
        <v>44562</v>
      </c>
      <c r="B1676" t="s">
        <v>67</v>
      </c>
      <c r="C1676" t="s">
        <v>21</v>
      </c>
      <c r="D1676">
        <v>1762</v>
      </c>
      <c r="E1676">
        <v>24615</v>
      </c>
    </row>
    <row r="1677" spans="1:5" x14ac:dyDescent="0.35">
      <c r="A1677" s="2">
        <v>44562</v>
      </c>
      <c r="B1677" t="s">
        <v>77</v>
      </c>
      <c r="C1677" t="s">
        <v>21</v>
      </c>
      <c r="D1677">
        <v>194</v>
      </c>
      <c r="E1677">
        <v>3015</v>
      </c>
    </row>
    <row r="1678" spans="1:5" x14ac:dyDescent="0.35">
      <c r="A1678" s="2">
        <v>44562</v>
      </c>
      <c r="B1678" t="s">
        <v>78</v>
      </c>
      <c r="C1678" t="s">
        <v>21</v>
      </c>
      <c r="D1678">
        <v>2191</v>
      </c>
      <c r="E1678">
        <v>58107</v>
      </c>
    </row>
    <row r="1679" spans="1:5" x14ac:dyDescent="0.35">
      <c r="A1679" s="2">
        <v>44562</v>
      </c>
      <c r="B1679" t="s">
        <v>74</v>
      </c>
      <c r="C1679" t="s">
        <v>21</v>
      </c>
      <c r="D1679">
        <v>597</v>
      </c>
      <c r="E1679">
        <v>28339</v>
      </c>
    </row>
    <row r="1680" spans="1:5" x14ac:dyDescent="0.35">
      <c r="A1680" s="2">
        <v>44562</v>
      </c>
      <c r="B1680" t="s">
        <v>72</v>
      </c>
      <c r="C1680" t="s">
        <v>21</v>
      </c>
      <c r="D1680">
        <v>22</v>
      </c>
      <c r="E1680">
        <v>3490</v>
      </c>
    </row>
    <row r="1681" spans="1:5" x14ac:dyDescent="0.35">
      <c r="A1681" s="2">
        <v>44562</v>
      </c>
      <c r="B1681" t="s">
        <v>57</v>
      </c>
      <c r="C1681" t="s">
        <v>21</v>
      </c>
      <c r="D1681">
        <v>76</v>
      </c>
      <c r="E1681">
        <v>3561</v>
      </c>
    </row>
    <row r="1682" spans="1:5" x14ac:dyDescent="0.35">
      <c r="A1682" s="2">
        <v>44562</v>
      </c>
      <c r="B1682" t="s">
        <v>75</v>
      </c>
      <c r="C1682" t="s">
        <v>21</v>
      </c>
      <c r="D1682">
        <v>240</v>
      </c>
      <c r="E1682">
        <v>24613</v>
      </c>
    </row>
    <row r="1683" spans="1:5" x14ac:dyDescent="0.35">
      <c r="A1683" s="2">
        <v>44562</v>
      </c>
      <c r="B1683" t="s">
        <v>79</v>
      </c>
      <c r="C1683" t="s">
        <v>21</v>
      </c>
      <c r="D1683">
        <v>4386</v>
      </c>
      <c r="E1683">
        <v>74134</v>
      </c>
    </row>
    <row r="1684" spans="1:5" x14ac:dyDescent="0.35">
      <c r="A1684" s="2">
        <v>44562</v>
      </c>
      <c r="B1684" t="s">
        <v>80</v>
      </c>
      <c r="C1684" t="s">
        <v>21</v>
      </c>
      <c r="D1684">
        <v>1399</v>
      </c>
      <c r="E1684">
        <v>45699</v>
      </c>
    </row>
    <row r="1685" spans="1:5" x14ac:dyDescent="0.35">
      <c r="A1685" s="2">
        <v>44562</v>
      </c>
      <c r="B1685" t="s">
        <v>58</v>
      </c>
      <c r="C1685" t="s">
        <v>21</v>
      </c>
      <c r="D1685">
        <v>6</v>
      </c>
      <c r="E1685">
        <v>20</v>
      </c>
    </row>
    <row r="1686" spans="1:5" x14ac:dyDescent="0.35">
      <c r="A1686" s="2">
        <v>44562</v>
      </c>
      <c r="B1686" t="s">
        <v>68</v>
      </c>
      <c r="C1686" t="s">
        <v>21</v>
      </c>
      <c r="D1686">
        <v>862</v>
      </c>
      <c r="E1686">
        <v>75043</v>
      </c>
    </row>
    <row r="1687" spans="1:5" x14ac:dyDescent="0.35">
      <c r="A1687" s="2">
        <v>44562</v>
      </c>
      <c r="B1687" t="s">
        <v>81</v>
      </c>
      <c r="C1687" t="s">
        <v>21</v>
      </c>
      <c r="D1687">
        <v>5138</v>
      </c>
      <c r="E1687">
        <v>136937</v>
      </c>
    </row>
    <row r="1688" spans="1:5" x14ac:dyDescent="0.35">
      <c r="A1688" s="2">
        <v>44562</v>
      </c>
      <c r="B1688" t="s">
        <v>59</v>
      </c>
      <c r="C1688" t="s">
        <v>21</v>
      </c>
      <c r="D1688">
        <v>5</v>
      </c>
      <c r="E1688">
        <v>3660</v>
      </c>
    </row>
    <row r="1689" spans="1:5" x14ac:dyDescent="0.35">
      <c r="A1689" s="2">
        <v>44562</v>
      </c>
      <c r="B1689" t="s">
        <v>69</v>
      </c>
      <c r="C1689" t="s">
        <v>21</v>
      </c>
      <c r="D1689">
        <v>1333</v>
      </c>
      <c r="E1689">
        <v>45749</v>
      </c>
    </row>
    <row r="1690" spans="1:5" x14ac:dyDescent="0.35">
      <c r="A1690" s="2">
        <v>44562</v>
      </c>
      <c r="B1690" t="s">
        <v>63</v>
      </c>
      <c r="C1690" t="s">
        <v>21</v>
      </c>
      <c r="D1690">
        <v>94</v>
      </c>
      <c r="E1690">
        <v>4044</v>
      </c>
    </row>
    <row r="1691" spans="1:5" x14ac:dyDescent="0.35">
      <c r="A1691" s="2">
        <v>44562</v>
      </c>
      <c r="B1691" t="s">
        <v>70</v>
      </c>
      <c r="C1691" t="s">
        <v>21</v>
      </c>
      <c r="D1691">
        <v>552</v>
      </c>
      <c r="E1691">
        <v>28295</v>
      </c>
    </row>
    <row r="1692" spans="1:5" x14ac:dyDescent="0.35">
      <c r="A1692" s="2">
        <v>44562</v>
      </c>
      <c r="B1692" t="s">
        <v>82</v>
      </c>
      <c r="C1692" t="s">
        <v>21</v>
      </c>
      <c r="D1692">
        <v>2359</v>
      </c>
      <c r="E1692">
        <v>50153</v>
      </c>
    </row>
    <row r="1693" spans="1:5" x14ac:dyDescent="0.35">
      <c r="A1693" s="2">
        <v>44562</v>
      </c>
      <c r="B1693" t="s">
        <v>83</v>
      </c>
      <c r="C1693" t="s">
        <v>21</v>
      </c>
      <c r="D1693">
        <v>4233</v>
      </c>
      <c r="E1693">
        <v>124399</v>
      </c>
    </row>
    <row r="1694" spans="1:5" x14ac:dyDescent="0.35">
      <c r="A1694" s="2">
        <v>44562</v>
      </c>
      <c r="B1694" t="s">
        <v>64</v>
      </c>
      <c r="C1694" t="s">
        <v>21</v>
      </c>
      <c r="D1694">
        <v>5</v>
      </c>
      <c r="E1694">
        <v>3043</v>
      </c>
    </row>
    <row r="1695" spans="1:5" x14ac:dyDescent="0.35">
      <c r="A1695" s="2">
        <v>44562</v>
      </c>
      <c r="B1695" t="s">
        <v>84</v>
      </c>
      <c r="C1695" t="s">
        <v>21</v>
      </c>
      <c r="D1695">
        <v>1322</v>
      </c>
      <c r="E1695">
        <v>168934</v>
      </c>
    </row>
    <row r="1696" spans="1:5" x14ac:dyDescent="0.35">
      <c r="A1696" s="2">
        <v>44562</v>
      </c>
      <c r="B1696" t="s">
        <v>71</v>
      </c>
      <c r="C1696" t="s">
        <v>21</v>
      </c>
      <c r="D1696">
        <v>184</v>
      </c>
      <c r="E1696">
        <v>10413</v>
      </c>
    </row>
    <row r="1697" spans="1:5" x14ac:dyDescent="0.35">
      <c r="A1697" s="2">
        <v>44562</v>
      </c>
      <c r="B1697" t="s">
        <v>85</v>
      </c>
      <c r="C1697" t="s">
        <v>21</v>
      </c>
      <c r="D1697">
        <v>370</v>
      </c>
      <c r="E1697">
        <v>61071</v>
      </c>
    </row>
    <row r="1698" spans="1:5" x14ac:dyDescent="0.35">
      <c r="A1698" s="2">
        <v>44593</v>
      </c>
      <c r="B1698" t="s">
        <v>76</v>
      </c>
      <c r="C1698" t="s">
        <v>21</v>
      </c>
      <c r="D1698">
        <v>2284</v>
      </c>
      <c r="E1698">
        <v>52013</v>
      </c>
    </row>
    <row r="1699" spans="1:5" x14ac:dyDescent="0.35">
      <c r="A1699" s="2">
        <v>44593</v>
      </c>
      <c r="B1699" t="s">
        <v>54</v>
      </c>
      <c r="C1699" t="s">
        <v>21</v>
      </c>
      <c r="D1699">
        <v>108</v>
      </c>
      <c r="E1699">
        <v>25414</v>
      </c>
    </row>
    <row r="1700" spans="1:5" x14ac:dyDescent="0.35">
      <c r="A1700" s="2">
        <v>44593</v>
      </c>
      <c r="B1700" t="s">
        <v>65</v>
      </c>
      <c r="C1700" t="s">
        <v>21</v>
      </c>
      <c r="D1700">
        <v>495</v>
      </c>
      <c r="E1700">
        <v>59758</v>
      </c>
    </row>
    <row r="1701" spans="1:5" x14ac:dyDescent="0.35">
      <c r="A1701" s="2">
        <v>44593</v>
      </c>
      <c r="B1701" t="s">
        <v>66</v>
      </c>
      <c r="C1701" t="s">
        <v>21</v>
      </c>
      <c r="D1701">
        <v>22</v>
      </c>
      <c r="E1701">
        <v>1184</v>
      </c>
    </row>
    <row r="1702" spans="1:5" x14ac:dyDescent="0.35">
      <c r="A1702" s="2">
        <v>44593</v>
      </c>
      <c r="B1702" t="s">
        <v>55</v>
      </c>
      <c r="C1702" t="s">
        <v>21</v>
      </c>
      <c r="D1702">
        <v>635</v>
      </c>
      <c r="E1702">
        <v>28508</v>
      </c>
    </row>
    <row r="1703" spans="1:5" x14ac:dyDescent="0.35">
      <c r="A1703" s="2">
        <v>44593</v>
      </c>
      <c r="B1703" t="s">
        <v>56</v>
      </c>
      <c r="C1703" t="s">
        <v>21</v>
      </c>
      <c r="D1703">
        <v>4</v>
      </c>
      <c r="E1703">
        <v>817</v>
      </c>
    </row>
    <row r="1704" spans="1:5" x14ac:dyDescent="0.35">
      <c r="A1704" s="2">
        <v>44593</v>
      </c>
      <c r="B1704" t="s">
        <v>67</v>
      </c>
      <c r="C1704" t="s">
        <v>21</v>
      </c>
      <c r="D1704">
        <v>2384</v>
      </c>
      <c r="E1704">
        <v>25413</v>
      </c>
    </row>
    <row r="1705" spans="1:5" x14ac:dyDescent="0.35">
      <c r="A1705" s="2">
        <v>44593</v>
      </c>
      <c r="B1705" t="s">
        <v>77</v>
      </c>
      <c r="C1705" t="s">
        <v>21</v>
      </c>
      <c r="D1705">
        <v>267</v>
      </c>
      <c r="E1705">
        <v>3248</v>
      </c>
    </row>
    <row r="1706" spans="1:5" x14ac:dyDescent="0.35">
      <c r="A1706" s="2">
        <v>44593</v>
      </c>
      <c r="B1706" t="s">
        <v>78</v>
      </c>
      <c r="C1706" t="s">
        <v>21</v>
      </c>
      <c r="D1706">
        <v>2613</v>
      </c>
      <c r="E1706">
        <v>68658</v>
      </c>
    </row>
    <row r="1707" spans="1:5" x14ac:dyDescent="0.35">
      <c r="A1707" s="2">
        <v>44593</v>
      </c>
      <c r="B1707" t="s">
        <v>74</v>
      </c>
      <c r="C1707" t="s">
        <v>21</v>
      </c>
      <c r="D1707">
        <v>677</v>
      </c>
      <c r="E1707">
        <v>25667</v>
      </c>
    </row>
    <row r="1708" spans="1:5" x14ac:dyDescent="0.35">
      <c r="A1708" s="2">
        <v>44593</v>
      </c>
      <c r="B1708" t="s">
        <v>72</v>
      </c>
      <c r="C1708" t="s">
        <v>21</v>
      </c>
      <c r="D1708">
        <v>57</v>
      </c>
      <c r="E1708">
        <v>4041</v>
      </c>
    </row>
    <row r="1709" spans="1:5" x14ac:dyDescent="0.35">
      <c r="A1709" s="2">
        <v>44593</v>
      </c>
      <c r="B1709" t="s">
        <v>57</v>
      </c>
      <c r="C1709" t="s">
        <v>21</v>
      </c>
      <c r="D1709">
        <v>101</v>
      </c>
      <c r="E1709">
        <v>4836</v>
      </c>
    </row>
    <row r="1710" spans="1:5" x14ac:dyDescent="0.35">
      <c r="A1710" s="2">
        <v>44593</v>
      </c>
      <c r="B1710" t="s">
        <v>75</v>
      </c>
      <c r="C1710" t="s">
        <v>21</v>
      </c>
      <c r="D1710">
        <v>338</v>
      </c>
      <c r="E1710">
        <v>27174</v>
      </c>
    </row>
    <row r="1711" spans="1:5" x14ac:dyDescent="0.35">
      <c r="A1711" s="2">
        <v>44593</v>
      </c>
      <c r="B1711" t="s">
        <v>79</v>
      </c>
      <c r="C1711" t="s">
        <v>21</v>
      </c>
      <c r="D1711">
        <v>5593</v>
      </c>
      <c r="E1711">
        <v>75612</v>
      </c>
    </row>
    <row r="1712" spans="1:5" x14ac:dyDescent="0.35">
      <c r="A1712" s="2">
        <v>44593</v>
      </c>
      <c r="B1712" t="s">
        <v>80</v>
      </c>
      <c r="C1712" t="s">
        <v>21</v>
      </c>
      <c r="D1712">
        <v>1737</v>
      </c>
      <c r="E1712">
        <v>41273</v>
      </c>
    </row>
    <row r="1713" spans="1:5" x14ac:dyDescent="0.35">
      <c r="A1713" s="2">
        <v>44593</v>
      </c>
      <c r="B1713" t="s">
        <v>68</v>
      </c>
      <c r="C1713" t="s">
        <v>21</v>
      </c>
      <c r="D1713">
        <v>974</v>
      </c>
      <c r="E1713">
        <v>69322</v>
      </c>
    </row>
    <row r="1714" spans="1:5" x14ac:dyDescent="0.35">
      <c r="A1714" s="2">
        <v>44593</v>
      </c>
      <c r="B1714" t="s">
        <v>81</v>
      </c>
      <c r="C1714" t="s">
        <v>21</v>
      </c>
      <c r="D1714">
        <v>6871</v>
      </c>
      <c r="E1714">
        <v>116043</v>
      </c>
    </row>
    <row r="1715" spans="1:5" x14ac:dyDescent="0.35">
      <c r="A1715" s="2">
        <v>44593</v>
      </c>
      <c r="B1715" t="s">
        <v>59</v>
      </c>
      <c r="C1715" t="s">
        <v>21</v>
      </c>
      <c r="D1715">
        <v>3</v>
      </c>
      <c r="E1715">
        <v>4773</v>
      </c>
    </row>
    <row r="1716" spans="1:5" x14ac:dyDescent="0.35">
      <c r="A1716" s="2">
        <v>44593</v>
      </c>
      <c r="B1716" t="s">
        <v>69</v>
      </c>
      <c r="C1716" t="s">
        <v>21</v>
      </c>
      <c r="D1716">
        <v>1266</v>
      </c>
      <c r="E1716">
        <v>41856</v>
      </c>
    </row>
    <row r="1717" spans="1:5" x14ac:dyDescent="0.35">
      <c r="A1717" s="2">
        <v>44593</v>
      </c>
      <c r="B1717" t="s">
        <v>63</v>
      </c>
      <c r="C1717" t="s">
        <v>21</v>
      </c>
      <c r="D1717">
        <v>117</v>
      </c>
      <c r="E1717">
        <v>3410</v>
      </c>
    </row>
    <row r="1718" spans="1:5" x14ac:dyDescent="0.35">
      <c r="A1718" s="2">
        <v>44593</v>
      </c>
      <c r="B1718" t="s">
        <v>70</v>
      </c>
      <c r="C1718" t="s">
        <v>21</v>
      </c>
      <c r="D1718">
        <v>296</v>
      </c>
      <c r="E1718">
        <v>24506</v>
      </c>
    </row>
    <row r="1719" spans="1:5" x14ac:dyDescent="0.35">
      <c r="A1719" s="2">
        <v>44593</v>
      </c>
      <c r="B1719" t="s">
        <v>82</v>
      </c>
      <c r="C1719" t="s">
        <v>21</v>
      </c>
      <c r="D1719">
        <v>2563</v>
      </c>
      <c r="E1719">
        <v>56168</v>
      </c>
    </row>
    <row r="1720" spans="1:5" x14ac:dyDescent="0.35">
      <c r="A1720" s="2">
        <v>44593</v>
      </c>
      <c r="B1720" t="s">
        <v>83</v>
      </c>
      <c r="C1720" t="s">
        <v>21</v>
      </c>
      <c r="D1720">
        <v>4506</v>
      </c>
      <c r="E1720">
        <v>108851</v>
      </c>
    </row>
    <row r="1721" spans="1:5" x14ac:dyDescent="0.35">
      <c r="A1721" s="2">
        <v>44593</v>
      </c>
      <c r="B1721" t="s">
        <v>64</v>
      </c>
      <c r="C1721" t="s">
        <v>21</v>
      </c>
      <c r="D1721">
        <v>3</v>
      </c>
      <c r="E1721">
        <v>2705</v>
      </c>
    </row>
    <row r="1722" spans="1:5" x14ac:dyDescent="0.35">
      <c r="A1722" s="2">
        <v>44593</v>
      </c>
      <c r="B1722" t="s">
        <v>84</v>
      </c>
      <c r="C1722" t="s">
        <v>21</v>
      </c>
      <c r="D1722">
        <v>1202</v>
      </c>
      <c r="E1722">
        <v>163699</v>
      </c>
    </row>
    <row r="1723" spans="1:5" x14ac:dyDescent="0.35">
      <c r="A1723" s="2">
        <v>44593</v>
      </c>
      <c r="B1723" t="s">
        <v>71</v>
      </c>
      <c r="C1723" t="s">
        <v>21</v>
      </c>
      <c r="D1723">
        <v>223</v>
      </c>
      <c r="E1723">
        <v>9283</v>
      </c>
    </row>
    <row r="1724" spans="1:5" x14ac:dyDescent="0.35">
      <c r="A1724" s="2">
        <v>44593</v>
      </c>
      <c r="B1724" t="s">
        <v>85</v>
      </c>
      <c r="C1724" t="s">
        <v>21</v>
      </c>
      <c r="D1724">
        <v>383</v>
      </c>
      <c r="E1724">
        <v>56937</v>
      </c>
    </row>
    <row r="1725" spans="1:5" x14ac:dyDescent="0.35">
      <c r="A1725" s="2">
        <v>44621</v>
      </c>
      <c r="B1725" t="s">
        <v>76</v>
      </c>
      <c r="C1725" t="s">
        <v>21</v>
      </c>
      <c r="D1725">
        <v>3169</v>
      </c>
      <c r="E1725">
        <v>51588</v>
      </c>
    </row>
    <row r="1726" spans="1:5" x14ac:dyDescent="0.35">
      <c r="A1726" s="2">
        <v>44621</v>
      </c>
      <c r="B1726" t="s">
        <v>54</v>
      </c>
      <c r="C1726" t="s">
        <v>21</v>
      </c>
      <c r="D1726">
        <v>179</v>
      </c>
      <c r="E1726">
        <v>29698</v>
      </c>
    </row>
    <row r="1727" spans="1:5" x14ac:dyDescent="0.35">
      <c r="A1727" s="2">
        <v>44621</v>
      </c>
      <c r="B1727" t="s">
        <v>65</v>
      </c>
      <c r="C1727" t="s">
        <v>21</v>
      </c>
      <c r="D1727">
        <v>1328</v>
      </c>
      <c r="E1727">
        <v>85165</v>
      </c>
    </row>
    <row r="1728" spans="1:5" x14ac:dyDescent="0.35">
      <c r="A1728" s="2">
        <v>44621</v>
      </c>
      <c r="B1728" t="s">
        <v>66</v>
      </c>
      <c r="C1728" t="s">
        <v>21</v>
      </c>
      <c r="D1728">
        <v>55</v>
      </c>
      <c r="E1728">
        <v>1883</v>
      </c>
    </row>
    <row r="1729" spans="1:5" x14ac:dyDescent="0.35">
      <c r="A1729" s="2">
        <v>44621</v>
      </c>
      <c r="B1729" t="s">
        <v>55</v>
      </c>
      <c r="C1729" t="s">
        <v>21</v>
      </c>
      <c r="D1729">
        <v>959</v>
      </c>
      <c r="E1729">
        <v>31244</v>
      </c>
    </row>
    <row r="1730" spans="1:5" x14ac:dyDescent="0.35">
      <c r="A1730" s="2">
        <v>44621</v>
      </c>
      <c r="B1730" t="s">
        <v>56</v>
      </c>
      <c r="C1730" t="s">
        <v>21</v>
      </c>
      <c r="D1730">
        <v>5</v>
      </c>
      <c r="E1730">
        <v>757</v>
      </c>
    </row>
    <row r="1731" spans="1:5" x14ac:dyDescent="0.35">
      <c r="A1731" s="2">
        <v>44621</v>
      </c>
      <c r="B1731" t="s">
        <v>67</v>
      </c>
      <c r="C1731" t="s">
        <v>21</v>
      </c>
      <c r="D1731">
        <v>3491</v>
      </c>
      <c r="E1731">
        <v>28871</v>
      </c>
    </row>
    <row r="1732" spans="1:5" x14ac:dyDescent="0.35">
      <c r="A1732" s="2">
        <v>44621</v>
      </c>
      <c r="B1732" t="s">
        <v>77</v>
      </c>
      <c r="C1732" t="s">
        <v>21</v>
      </c>
      <c r="D1732">
        <v>235</v>
      </c>
      <c r="E1732">
        <v>4381</v>
      </c>
    </row>
    <row r="1733" spans="1:5" x14ac:dyDescent="0.35">
      <c r="A1733" s="2">
        <v>44621</v>
      </c>
      <c r="B1733" t="s">
        <v>78</v>
      </c>
      <c r="C1733" t="s">
        <v>21</v>
      </c>
      <c r="D1733">
        <v>4507</v>
      </c>
      <c r="E1733">
        <v>79333</v>
      </c>
    </row>
    <row r="1734" spans="1:5" x14ac:dyDescent="0.35">
      <c r="A1734" s="2">
        <v>44621</v>
      </c>
      <c r="B1734" t="s">
        <v>74</v>
      </c>
      <c r="C1734" t="s">
        <v>21</v>
      </c>
      <c r="D1734">
        <v>1025</v>
      </c>
      <c r="E1734">
        <v>30295</v>
      </c>
    </row>
    <row r="1735" spans="1:5" x14ac:dyDescent="0.35">
      <c r="A1735" s="2">
        <v>44621</v>
      </c>
      <c r="B1735" t="s">
        <v>72</v>
      </c>
      <c r="C1735" t="s">
        <v>21</v>
      </c>
      <c r="D1735">
        <v>61</v>
      </c>
      <c r="E1735">
        <v>3565</v>
      </c>
    </row>
    <row r="1736" spans="1:5" x14ac:dyDescent="0.35">
      <c r="A1736" s="2">
        <v>44621</v>
      </c>
      <c r="B1736" t="s">
        <v>57</v>
      </c>
      <c r="C1736" t="s">
        <v>21</v>
      </c>
      <c r="D1736">
        <v>227</v>
      </c>
      <c r="E1736">
        <v>5680</v>
      </c>
    </row>
    <row r="1737" spans="1:5" x14ac:dyDescent="0.35">
      <c r="A1737" s="2">
        <v>44621</v>
      </c>
      <c r="B1737" t="s">
        <v>75</v>
      </c>
      <c r="C1737" t="s">
        <v>21</v>
      </c>
      <c r="D1737">
        <v>607</v>
      </c>
      <c r="E1737">
        <v>38435</v>
      </c>
    </row>
    <row r="1738" spans="1:5" x14ac:dyDescent="0.35">
      <c r="A1738" s="2">
        <v>44621</v>
      </c>
      <c r="B1738" t="s">
        <v>79</v>
      </c>
      <c r="C1738" t="s">
        <v>21</v>
      </c>
      <c r="D1738">
        <v>7288</v>
      </c>
      <c r="E1738">
        <v>91537</v>
      </c>
    </row>
    <row r="1739" spans="1:5" x14ac:dyDescent="0.35">
      <c r="A1739" s="2">
        <v>44621</v>
      </c>
      <c r="B1739" t="s">
        <v>80</v>
      </c>
      <c r="C1739" t="s">
        <v>21</v>
      </c>
      <c r="D1739">
        <v>2880</v>
      </c>
      <c r="E1739">
        <v>50610</v>
      </c>
    </row>
    <row r="1740" spans="1:5" x14ac:dyDescent="0.35">
      <c r="A1740" s="2">
        <v>44621</v>
      </c>
      <c r="B1740" t="s">
        <v>68</v>
      </c>
      <c r="C1740" t="s">
        <v>21</v>
      </c>
      <c r="D1740">
        <v>1580</v>
      </c>
      <c r="E1740">
        <v>76256</v>
      </c>
    </row>
    <row r="1741" spans="1:5" x14ac:dyDescent="0.35">
      <c r="A1741" s="2">
        <v>44621</v>
      </c>
      <c r="B1741" t="s">
        <v>81</v>
      </c>
      <c r="C1741" t="s">
        <v>21</v>
      </c>
      <c r="D1741">
        <v>9687</v>
      </c>
      <c r="E1741">
        <v>130070</v>
      </c>
    </row>
    <row r="1742" spans="1:5" x14ac:dyDescent="0.35">
      <c r="A1742" s="2">
        <v>44621</v>
      </c>
      <c r="B1742" t="s">
        <v>59</v>
      </c>
      <c r="C1742" t="s">
        <v>21</v>
      </c>
      <c r="D1742">
        <v>2</v>
      </c>
      <c r="E1742">
        <v>3508</v>
      </c>
    </row>
    <row r="1743" spans="1:5" x14ac:dyDescent="0.35">
      <c r="A1743" s="2">
        <v>44621</v>
      </c>
      <c r="B1743" t="s">
        <v>69</v>
      </c>
      <c r="C1743" t="s">
        <v>21</v>
      </c>
      <c r="D1743">
        <v>2363</v>
      </c>
      <c r="E1743">
        <v>47801</v>
      </c>
    </row>
    <row r="1744" spans="1:5" x14ac:dyDescent="0.35">
      <c r="A1744" s="2">
        <v>44621</v>
      </c>
      <c r="B1744" t="s">
        <v>63</v>
      </c>
      <c r="C1744" t="s">
        <v>21</v>
      </c>
      <c r="D1744">
        <v>181</v>
      </c>
      <c r="E1744">
        <v>3913</v>
      </c>
    </row>
    <row r="1745" spans="1:5" x14ac:dyDescent="0.35">
      <c r="A1745" s="2">
        <v>44621</v>
      </c>
      <c r="B1745" t="s">
        <v>70</v>
      </c>
      <c r="C1745" t="s">
        <v>21</v>
      </c>
      <c r="D1745">
        <v>716</v>
      </c>
      <c r="E1745">
        <v>31497</v>
      </c>
    </row>
    <row r="1746" spans="1:5" x14ac:dyDescent="0.35">
      <c r="A1746" s="2">
        <v>44621</v>
      </c>
      <c r="B1746" t="s">
        <v>82</v>
      </c>
      <c r="C1746" t="s">
        <v>21</v>
      </c>
      <c r="D1746">
        <v>3080</v>
      </c>
      <c r="E1746">
        <v>60106</v>
      </c>
    </row>
    <row r="1747" spans="1:5" x14ac:dyDescent="0.35">
      <c r="A1747" s="2">
        <v>44621</v>
      </c>
      <c r="B1747" t="s">
        <v>83</v>
      </c>
      <c r="C1747" t="s">
        <v>21</v>
      </c>
      <c r="D1747">
        <v>7708</v>
      </c>
      <c r="E1747">
        <v>124272</v>
      </c>
    </row>
    <row r="1748" spans="1:5" x14ac:dyDescent="0.35">
      <c r="A1748" s="2">
        <v>44621</v>
      </c>
      <c r="B1748" t="s">
        <v>64</v>
      </c>
      <c r="C1748" t="s">
        <v>21</v>
      </c>
      <c r="D1748">
        <v>18</v>
      </c>
      <c r="E1748">
        <v>3504</v>
      </c>
    </row>
    <row r="1749" spans="1:5" x14ac:dyDescent="0.35">
      <c r="A1749" s="2">
        <v>44621</v>
      </c>
      <c r="B1749" t="s">
        <v>84</v>
      </c>
      <c r="C1749" t="s">
        <v>21</v>
      </c>
      <c r="D1749">
        <v>1986</v>
      </c>
      <c r="E1749">
        <v>180927</v>
      </c>
    </row>
    <row r="1750" spans="1:5" x14ac:dyDescent="0.35">
      <c r="A1750" s="2">
        <v>44621</v>
      </c>
      <c r="B1750" t="s">
        <v>71</v>
      </c>
      <c r="C1750" t="s">
        <v>21</v>
      </c>
      <c r="D1750">
        <v>435</v>
      </c>
      <c r="E1750">
        <v>11692</v>
      </c>
    </row>
    <row r="1751" spans="1:5" x14ac:dyDescent="0.35">
      <c r="A1751" s="2">
        <v>44621</v>
      </c>
      <c r="B1751" t="s">
        <v>85</v>
      </c>
      <c r="C1751" t="s">
        <v>21</v>
      </c>
      <c r="D1751">
        <v>626</v>
      </c>
      <c r="E1751">
        <v>73783</v>
      </c>
    </row>
    <row r="1752" spans="1:5" x14ac:dyDescent="0.35">
      <c r="A1752" s="2">
        <v>44652</v>
      </c>
      <c r="B1752" t="s">
        <v>76</v>
      </c>
      <c r="C1752" t="s">
        <v>21</v>
      </c>
      <c r="D1752">
        <v>2745</v>
      </c>
      <c r="E1752">
        <v>56529</v>
      </c>
    </row>
    <row r="1753" spans="1:5" x14ac:dyDescent="0.35">
      <c r="A1753" s="2">
        <v>44652</v>
      </c>
      <c r="B1753" t="s">
        <v>54</v>
      </c>
      <c r="C1753" t="s">
        <v>21</v>
      </c>
      <c r="D1753">
        <v>168</v>
      </c>
      <c r="E1753">
        <v>26813</v>
      </c>
    </row>
    <row r="1754" spans="1:5" x14ac:dyDescent="0.35">
      <c r="A1754" s="2">
        <v>44652</v>
      </c>
      <c r="B1754" t="s">
        <v>65</v>
      </c>
      <c r="C1754" t="s">
        <v>21</v>
      </c>
      <c r="D1754">
        <v>475</v>
      </c>
      <c r="E1754">
        <v>82418</v>
      </c>
    </row>
    <row r="1755" spans="1:5" x14ac:dyDescent="0.35">
      <c r="A1755" s="2">
        <v>44652</v>
      </c>
      <c r="B1755" t="s">
        <v>66</v>
      </c>
      <c r="C1755" t="s">
        <v>21</v>
      </c>
      <c r="D1755">
        <v>63</v>
      </c>
      <c r="E1755">
        <v>1881</v>
      </c>
    </row>
    <row r="1756" spans="1:5" x14ac:dyDescent="0.35">
      <c r="A1756" s="2">
        <v>44652</v>
      </c>
      <c r="B1756" t="s">
        <v>55</v>
      </c>
      <c r="C1756" t="s">
        <v>21</v>
      </c>
      <c r="D1756">
        <v>1397</v>
      </c>
      <c r="E1756">
        <v>30843</v>
      </c>
    </row>
    <row r="1757" spans="1:5" x14ac:dyDescent="0.35">
      <c r="A1757" s="2">
        <v>44652</v>
      </c>
      <c r="B1757" t="s">
        <v>56</v>
      </c>
      <c r="C1757" t="s">
        <v>21</v>
      </c>
      <c r="D1757">
        <v>4</v>
      </c>
      <c r="E1757">
        <v>804</v>
      </c>
    </row>
    <row r="1758" spans="1:5" x14ac:dyDescent="0.35">
      <c r="A1758" s="2">
        <v>44652</v>
      </c>
      <c r="B1758" t="s">
        <v>67</v>
      </c>
      <c r="C1758" t="s">
        <v>21</v>
      </c>
      <c r="D1758">
        <v>2832</v>
      </c>
      <c r="E1758">
        <v>32226</v>
      </c>
    </row>
    <row r="1759" spans="1:5" x14ac:dyDescent="0.35">
      <c r="A1759" s="2">
        <v>44652</v>
      </c>
      <c r="B1759" t="s">
        <v>77</v>
      </c>
      <c r="C1759" t="s">
        <v>21</v>
      </c>
      <c r="D1759">
        <v>377</v>
      </c>
      <c r="E1759">
        <v>3817</v>
      </c>
    </row>
    <row r="1760" spans="1:5" x14ac:dyDescent="0.35">
      <c r="A1760" s="2">
        <v>44652</v>
      </c>
      <c r="B1760" t="s">
        <v>78</v>
      </c>
      <c r="C1760" t="s">
        <v>21</v>
      </c>
      <c r="D1760">
        <v>6695</v>
      </c>
      <c r="E1760">
        <v>88648</v>
      </c>
    </row>
    <row r="1761" spans="1:5" x14ac:dyDescent="0.35">
      <c r="A1761" s="2">
        <v>44652</v>
      </c>
      <c r="B1761" t="s">
        <v>74</v>
      </c>
      <c r="C1761" t="s">
        <v>21</v>
      </c>
      <c r="D1761">
        <v>1215</v>
      </c>
      <c r="E1761">
        <v>30558</v>
      </c>
    </row>
    <row r="1762" spans="1:5" x14ac:dyDescent="0.35">
      <c r="A1762" s="2">
        <v>44652</v>
      </c>
      <c r="B1762" t="s">
        <v>72</v>
      </c>
      <c r="C1762" t="s">
        <v>21</v>
      </c>
      <c r="D1762">
        <v>97</v>
      </c>
      <c r="E1762">
        <v>4637</v>
      </c>
    </row>
    <row r="1763" spans="1:5" x14ac:dyDescent="0.35">
      <c r="A1763" s="2">
        <v>44652</v>
      </c>
      <c r="B1763" t="s">
        <v>57</v>
      </c>
      <c r="C1763" t="s">
        <v>21</v>
      </c>
      <c r="D1763">
        <v>125</v>
      </c>
      <c r="E1763">
        <v>8306</v>
      </c>
    </row>
    <row r="1764" spans="1:5" x14ac:dyDescent="0.35">
      <c r="A1764" s="2">
        <v>44652</v>
      </c>
      <c r="B1764" t="s">
        <v>75</v>
      </c>
      <c r="C1764" t="s">
        <v>21</v>
      </c>
      <c r="D1764">
        <v>450</v>
      </c>
      <c r="E1764">
        <v>35590</v>
      </c>
    </row>
    <row r="1765" spans="1:5" x14ac:dyDescent="0.35">
      <c r="A1765" s="2">
        <v>44652</v>
      </c>
      <c r="B1765" t="s">
        <v>79</v>
      </c>
      <c r="C1765" t="s">
        <v>21</v>
      </c>
      <c r="D1765">
        <v>8814</v>
      </c>
      <c r="E1765">
        <v>100400</v>
      </c>
    </row>
    <row r="1766" spans="1:5" x14ac:dyDescent="0.35">
      <c r="A1766" s="2">
        <v>44652</v>
      </c>
      <c r="B1766" t="s">
        <v>80</v>
      </c>
      <c r="C1766" t="s">
        <v>21</v>
      </c>
      <c r="D1766">
        <v>2908</v>
      </c>
      <c r="E1766">
        <v>41859</v>
      </c>
    </row>
    <row r="1767" spans="1:5" x14ac:dyDescent="0.35">
      <c r="A1767" s="2">
        <v>44652</v>
      </c>
      <c r="B1767" t="s">
        <v>68</v>
      </c>
      <c r="C1767" t="s">
        <v>21</v>
      </c>
      <c r="D1767">
        <v>1337</v>
      </c>
      <c r="E1767">
        <v>75144</v>
      </c>
    </row>
    <row r="1768" spans="1:5" x14ac:dyDescent="0.35">
      <c r="A1768" s="2">
        <v>44652</v>
      </c>
      <c r="B1768" t="s">
        <v>81</v>
      </c>
      <c r="C1768" t="s">
        <v>21</v>
      </c>
      <c r="D1768">
        <v>7375</v>
      </c>
      <c r="E1768">
        <v>135969</v>
      </c>
    </row>
    <row r="1769" spans="1:5" x14ac:dyDescent="0.35">
      <c r="A1769" s="2">
        <v>44652</v>
      </c>
      <c r="B1769" t="s">
        <v>60</v>
      </c>
      <c r="C1769" t="s">
        <v>21</v>
      </c>
      <c r="D1769">
        <v>5</v>
      </c>
      <c r="E1769">
        <v>1472</v>
      </c>
    </row>
    <row r="1770" spans="1:5" x14ac:dyDescent="0.35">
      <c r="A1770" s="2">
        <v>44652</v>
      </c>
      <c r="B1770" t="s">
        <v>62</v>
      </c>
      <c r="C1770" t="s">
        <v>21</v>
      </c>
      <c r="D1770">
        <v>2</v>
      </c>
      <c r="E1770">
        <v>444</v>
      </c>
    </row>
    <row r="1771" spans="1:5" x14ac:dyDescent="0.35">
      <c r="A1771" s="2">
        <v>44652</v>
      </c>
      <c r="B1771" t="s">
        <v>69</v>
      </c>
      <c r="C1771" t="s">
        <v>21</v>
      </c>
      <c r="D1771">
        <v>2261</v>
      </c>
      <c r="E1771">
        <v>44330</v>
      </c>
    </row>
    <row r="1772" spans="1:5" x14ac:dyDescent="0.35">
      <c r="A1772" s="2">
        <v>44652</v>
      </c>
      <c r="B1772" t="s">
        <v>63</v>
      </c>
      <c r="C1772" t="s">
        <v>21</v>
      </c>
      <c r="D1772">
        <v>82</v>
      </c>
      <c r="E1772">
        <v>3044</v>
      </c>
    </row>
    <row r="1773" spans="1:5" x14ac:dyDescent="0.35">
      <c r="A1773" s="2">
        <v>44652</v>
      </c>
      <c r="B1773" t="s">
        <v>70</v>
      </c>
      <c r="C1773" t="s">
        <v>21</v>
      </c>
      <c r="D1773">
        <v>817</v>
      </c>
      <c r="E1773">
        <v>29934</v>
      </c>
    </row>
    <row r="1774" spans="1:5" x14ac:dyDescent="0.35">
      <c r="A1774" s="2">
        <v>44652</v>
      </c>
      <c r="B1774" t="s">
        <v>82</v>
      </c>
      <c r="C1774" t="s">
        <v>21</v>
      </c>
      <c r="D1774">
        <v>3771</v>
      </c>
      <c r="E1774">
        <v>70039</v>
      </c>
    </row>
    <row r="1775" spans="1:5" x14ac:dyDescent="0.35">
      <c r="A1775" s="2">
        <v>44652</v>
      </c>
      <c r="B1775" t="s">
        <v>83</v>
      </c>
      <c r="C1775" t="s">
        <v>21</v>
      </c>
      <c r="D1775">
        <v>5425</v>
      </c>
      <c r="E1775">
        <v>106643</v>
      </c>
    </row>
    <row r="1776" spans="1:5" x14ac:dyDescent="0.35">
      <c r="A1776" s="2">
        <v>44652</v>
      </c>
      <c r="B1776" t="s">
        <v>64</v>
      </c>
      <c r="C1776" t="s">
        <v>21</v>
      </c>
      <c r="D1776">
        <v>20</v>
      </c>
      <c r="E1776">
        <v>2797</v>
      </c>
    </row>
    <row r="1777" spans="1:5" x14ac:dyDescent="0.35">
      <c r="A1777" s="2">
        <v>44652</v>
      </c>
      <c r="B1777" t="s">
        <v>84</v>
      </c>
      <c r="C1777" t="s">
        <v>21</v>
      </c>
      <c r="D1777">
        <v>2397</v>
      </c>
      <c r="E1777">
        <v>225079</v>
      </c>
    </row>
    <row r="1778" spans="1:5" x14ac:dyDescent="0.35">
      <c r="A1778" s="2">
        <v>44652</v>
      </c>
      <c r="B1778" t="s">
        <v>71</v>
      </c>
      <c r="C1778" t="s">
        <v>21</v>
      </c>
      <c r="D1778">
        <v>602</v>
      </c>
      <c r="E1778">
        <v>12989</v>
      </c>
    </row>
    <row r="1779" spans="1:5" x14ac:dyDescent="0.35">
      <c r="A1779" s="2">
        <v>44652</v>
      </c>
      <c r="B1779" t="s">
        <v>85</v>
      </c>
      <c r="C1779" t="s">
        <v>21</v>
      </c>
      <c r="D1779">
        <v>815</v>
      </c>
      <c r="E1779">
        <v>68909</v>
      </c>
    </row>
    <row r="1780" spans="1:5" x14ac:dyDescent="0.35">
      <c r="A1780" s="2">
        <v>44682</v>
      </c>
      <c r="B1780" t="s">
        <v>76</v>
      </c>
      <c r="C1780" t="s">
        <v>21</v>
      </c>
      <c r="D1780">
        <v>1615</v>
      </c>
      <c r="E1780">
        <v>48041</v>
      </c>
    </row>
    <row r="1781" spans="1:5" x14ac:dyDescent="0.35">
      <c r="A1781" s="2">
        <v>44682</v>
      </c>
      <c r="B1781" t="s">
        <v>54</v>
      </c>
      <c r="C1781" t="s">
        <v>21</v>
      </c>
      <c r="D1781">
        <v>112</v>
      </c>
      <c r="E1781">
        <v>28739</v>
      </c>
    </row>
    <row r="1782" spans="1:5" x14ac:dyDescent="0.35">
      <c r="A1782" s="2">
        <v>44682</v>
      </c>
      <c r="B1782" t="s">
        <v>65</v>
      </c>
      <c r="C1782" t="s">
        <v>21</v>
      </c>
      <c r="D1782">
        <v>458</v>
      </c>
      <c r="E1782">
        <v>113034</v>
      </c>
    </row>
    <row r="1783" spans="1:5" x14ac:dyDescent="0.35">
      <c r="A1783" s="2">
        <v>44682</v>
      </c>
      <c r="B1783" t="s">
        <v>66</v>
      </c>
      <c r="C1783" t="s">
        <v>21</v>
      </c>
      <c r="D1783">
        <v>44</v>
      </c>
      <c r="E1783">
        <v>1797</v>
      </c>
    </row>
    <row r="1784" spans="1:5" x14ac:dyDescent="0.35">
      <c r="A1784" s="2">
        <v>44682</v>
      </c>
      <c r="B1784" t="s">
        <v>55</v>
      </c>
      <c r="C1784" t="s">
        <v>21</v>
      </c>
      <c r="D1784">
        <v>834</v>
      </c>
      <c r="E1784">
        <v>28821</v>
      </c>
    </row>
    <row r="1785" spans="1:5" x14ac:dyDescent="0.35">
      <c r="A1785" s="2">
        <v>44682</v>
      </c>
      <c r="B1785" t="s">
        <v>56</v>
      </c>
      <c r="C1785" t="s">
        <v>21</v>
      </c>
      <c r="D1785">
        <v>6</v>
      </c>
      <c r="E1785">
        <v>790</v>
      </c>
    </row>
    <row r="1786" spans="1:5" x14ac:dyDescent="0.35">
      <c r="A1786" s="2">
        <v>44682</v>
      </c>
      <c r="B1786" t="s">
        <v>67</v>
      </c>
      <c r="C1786" t="s">
        <v>21</v>
      </c>
      <c r="D1786">
        <v>1760</v>
      </c>
      <c r="E1786">
        <v>28897</v>
      </c>
    </row>
    <row r="1787" spans="1:5" x14ac:dyDescent="0.35">
      <c r="A1787" s="2">
        <v>44682</v>
      </c>
      <c r="B1787" t="s">
        <v>77</v>
      </c>
      <c r="C1787" t="s">
        <v>21</v>
      </c>
      <c r="D1787">
        <v>453</v>
      </c>
      <c r="E1787">
        <v>3338</v>
      </c>
    </row>
    <row r="1788" spans="1:5" x14ac:dyDescent="0.35">
      <c r="A1788" s="2">
        <v>44682</v>
      </c>
      <c r="B1788" t="s">
        <v>78</v>
      </c>
      <c r="C1788" t="s">
        <v>21</v>
      </c>
      <c r="D1788">
        <v>4408</v>
      </c>
      <c r="E1788">
        <v>68621</v>
      </c>
    </row>
    <row r="1789" spans="1:5" x14ac:dyDescent="0.35">
      <c r="A1789" s="2">
        <v>44682</v>
      </c>
      <c r="B1789" t="s">
        <v>74</v>
      </c>
      <c r="C1789" t="s">
        <v>21</v>
      </c>
      <c r="D1789">
        <v>1178</v>
      </c>
      <c r="E1789">
        <v>32009</v>
      </c>
    </row>
    <row r="1790" spans="1:5" x14ac:dyDescent="0.35">
      <c r="A1790" s="2">
        <v>44682</v>
      </c>
      <c r="B1790" t="s">
        <v>72</v>
      </c>
      <c r="C1790" t="s">
        <v>21</v>
      </c>
      <c r="D1790">
        <v>73</v>
      </c>
      <c r="E1790">
        <v>5131</v>
      </c>
    </row>
    <row r="1791" spans="1:5" x14ac:dyDescent="0.35">
      <c r="A1791" s="2">
        <v>44682</v>
      </c>
      <c r="B1791" t="s">
        <v>57</v>
      </c>
      <c r="C1791" t="s">
        <v>21</v>
      </c>
      <c r="D1791">
        <v>124</v>
      </c>
      <c r="E1791">
        <v>9505</v>
      </c>
    </row>
    <row r="1792" spans="1:5" x14ac:dyDescent="0.35">
      <c r="A1792" s="2">
        <v>44682</v>
      </c>
      <c r="B1792" t="s">
        <v>75</v>
      </c>
      <c r="C1792" t="s">
        <v>21</v>
      </c>
      <c r="D1792">
        <v>431</v>
      </c>
      <c r="E1792">
        <v>39317</v>
      </c>
    </row>
    <row r="1793" spans="1:5" x14ac:dyDescent="0.35">
      <c r="A1793" s="2">
        <v>44682</v>
      </c>
      <c r="B1793" t="s">
        <v>79</v>
      </c>
      <c r="C1793" t="s">
        <v>21</v>
      </c>
      <c r="D1793">
        <v>5947</v>
      </c>
      <c r="E1793">
        <v>84301</v>
      </c>
    </row>
    <row r="1794" spans="1:5" x14ac:dyDescent="0.35">
      <c r="A1794" s="2">
        <v>44682</v>
      </c>
      <c r="B1794" t="s">
        <v>80</v>
      </c>
      <c r="C1794" t="s">
        <v>21</v>
      </c>
      <c r="D1794">
        <v>2373</v>
      </c>
      <c r="E1794">
        <v>40514</v>
      </c>
    </row>
    <row r="1795" spans="1:5" x14ac:dyDescent="0.35">
      <c r="A1795" s="2">
        <v>44682</v>
      </c>
      <c r="B1795" t="s">
        <v>68</v>
      </c>
      <c r="C1795" t="s">
        <v>21</v>
      </c>
      <c r="D1795">
        <v>1310</v>
      </c>
      <c r="E1795">
        <v>94602</v>
      </c>
    </row>
    <row r="1796" spans="1:5" x14ac:dyDescent="0.35">
      <c r="A1796" s="2">
        <v>44682</v>
      </c>
      <c r="B1796" t="s">
        <v>81</v>
      </c>
      <c r="C1796" t="s">
        <v>21</v>
      </c>
      <c r="D1796">
        <v>8914</v>
      </c>
      <c r="E1796">
        <v>123203</v>
      </c>
    </row>
    <row r="1797" spans="1:5" x14ac:dyDescent="0.35">
      <c r="A1797" s="2">
        <v>44682</v>
      </c>
      <c r="B1797" t="s">
        <v>59</v>
      </c>
      <c r="C1797" t="s">
        <v>21</v>
      </c>
      <c r="D1797">
        <v>2</v>
      </c>
      <c r="E1797">
        <v>2443</v>
      </c>
    </row>
    <row r="1798" spans="1:5" x14ac:dyDescent="0.35">
      <c r="A1798" s="2">
        <v>44682</v>
      </c>
      <c r="B1798" t="s">
        <v>69</v>
      </c>
      <c r="C1798" t="s">
        <v>21</v>
      </c>
      <c r="D1798">
        <v>1714</v>
      </c>
      <c r="E1798">
        <v>38324</v>
      </c>
    </row>
    <row r="1799" spans="1:5" x14ac:dyDescent="0.35">
      <c r="A1799" s="2">
        <v>44682</v>
      </c>
      <c r="B1799" t="s">
        <v>63</v>
      </c>
      <c r="C1799" t="s">
        <v>21</v>
      </c>
      <c r="D1799">
        <v>65</v>
      </c>
      <c r="E1799">
        <v>3122</v>
      </c>
    </row>
    <row r="1800" spans="1:5" x14ac:dyDescent="0.35">
      <c r="A1800" s="2">
        <v>44682</v>
      </c>
      <c r="B1800" t="s">
        <v>70</v>
      </c>
      <c r="C1800" t="s">
        <v>21</v>
      </c>
      <c r="D1800">
        <v>493</v>
      </c>
      <c r="E1800">
        <v>30377</v>
      </c>
    </row>
    <row r="1801" spans="1:5" x14ac:dyDescent="0.35">
      <c r="A1801" s="2">
        <v>44682</v>
      </c>
      <c r="B1801" t="s">
        <v>82</v>
      </c>
      <c r="C1801" t="s">
        <v>21</v>
      </c>
      <c r="D1801">
        <v>3701</v>
      </c>
      <c r="E1801">
        <v>73803</v>
      </c>
    </row>
    <row r="1802" spans="1:5" x14ac:dyDescent="0.35">
      <c r="A1802" s="2">
        <v>44682</v>
      </c>
      <c r="B1802" t="s">
        <v>83</v>
      </c>
      <c r="C1802" t="s">
        <v>21</v>
      </c>
      <c r="D1802">
        <v>3628</v>
      </c>
      <c r="E1802">
        <v>102565</v>
      </c>
    </row>
    <row r="1803" spans="1:5" x14ac:dyDescent="0.35">
      <c r="A1803" s="2">
        <v>44682</v>
      </c>
      <c r="B1803" t="s">
        <v>64</v>
      </c>
      <c r="C1803" t="s">
        <v>21</v>
      </c>
      <c r="D1803">
        <v>14</v>
      </c>
      <c r="E1803">
        <v>2768</v>
      </c>
    </row>
    <row r="1804" spans="1:5" x14ac:dyDescent="0.35">
      <c r="A1804" s="2">
        <v>44682</v>
      </c>
      <c r="B1804" t="s">
        <v>84</v>
      </c>
      <c r="C1804" t="s">
        <v>21</v>
      </c>
      <c r="D1804">
        <v>1695</v>
      </c>
      <c r="E1804">
        <v>273962</v>
      </c>
    </row>
    <row r="1805" spans="1:5" x14ac:dyDescent="0.35">
      <c r="A1805" s="2">
        <v>44682</v>
      </c>
      <c r="B1805" t="s">
        <v>71</v>
      </c>
      <c r="C1805" t="s">
        <v>21</v>
      </c>
      <c r="D1805">
        <v>377</v>
      </c>
      <c r="E1805">
        <v>12930</v>
      </c>
    </row>
    <row r="1806" spans="1:5" x14ac:dyDescent="0.35">
      <c r="A1806" s="2">
        <v>44682</v>
      </c>
      <c r="B1806" t="s">
        <v>85</v>
      </c>
      <c r="C1806" t="s">
        <v>21</v>
      </c>
      <c r="D1806">
        <v>683</v>
      </c>
      <c r="E1806">
        <v>68721</v>
      </c>
    </row>
    <row r="1807" spans="1:5" x14ac:dyDescent="0.35">
      <c r="A1807" s="2">
        <v>44713</v>
      </c>
      <c r="B1807" t="s">
        <v>76</v>
      </c>
      <c r="C1807" t="s">
        <v>21</v>
      </c>
      <c r="D1807">
        <v>1733</v>
      </c>
      <c r="E1807">
        <v>37538</v>
      </c>
    </row>
    <row r="1808" spans="1:5" x14ac:dyDescent="0.35">
      <c r="A1808" s="2">
        <v>44713</v>
      </c>
      <c r="B1808" t="s">
        <v>54</v>
      </c>
      <c r="C1808" t="s">
        <v>21</v>
      </c>
      <c r="D1808">
        <v>101</v>
      </c>
      <c r="E1808">
        <v>21695</v>
      </c>
    </row>
    <row r="1809" spans="1:5" x14ac:dyDescent="0.35">
      <c r="A1809" s="2">
        <v>44713</v>
      </c>
      <c r="B1809" t="s">
        <v>65</v>
      </c>
      <c r="C1809" t="s">
        <v>21</v>
      </c>
      <c r="D1809">
        <v>716</v>
      </c>
      <c r="E1809">
        <v>79768</v>
      </c>
    </row>
    <row r="1810" spans="1:5" x14ac:dyDescent="0.35">
      <c r="A1810" s="2">
        <v>44713</v>
      </c>
      <c r="B1810" t="s">
        <v>66</v>
      </c>
      <c r="C1810" t="s">
        <v>21</v>
      </c>
      <c r="D1810">
        <v>63</v>
      </c>
      <c r="E1810">
        <v>1808</v>
      </c>
    </row>
    <row r="1811" spans="1:5" x14ac:dyDescent="0.35">
      <c r="A1811" s="2">
        <v>44713</v>
      </c>
      <c r="B1811" t="s">
        <v>55</v>
      </c>
      <c r="C1811" t="s">
        <v>21</v>
      </c>
      <c r="D1811">
        <v>1038</v>
      </c>
      <c r="E1811">
        <v>28027</v>
      </c>
    </row>
    <row r="1812" spans="1:5" x14ac:dyDescent="0.35">
      <c r="A1812" s="2">
        <v>44713</v>
      </c>
      <c r="B1812" t="s">
        <v>67</v>
      </c>
      <c r="C1812" t="s">
        <v>21</v>
      </c>
      <c r="D1812">
        <v>2755</v>
      </c>
      <c r="E1812">
        <v>27696</v>
      </c>
    </row>
    <row r="1813" spans="1:5" x14ac:dyDescent="0.35">
      <c r="A1813" s="2">
        <v>44713</v>
      </c>
      <c r="B1813" t="s">
        <v>77</v>
      </c>
      <c r="C1813" t="s">
        <v>21</v>
      </c>
      <c r="D1813">
        <v>365</v>
      </c>
      <c r="E1813">
        <v>3042</v>
      </c>
    </row>
    <row r="1814" spans="1:5" x14ac:dyDescent="0.35">
      <c r="A1814" s="2">
        <v>44713</v>
      </c>
      <c r="B1814" t="s">
        <v>78</v>
      </c>
      <c r="C1814" t="s">
        <v>21</v>
      </c>
      <c r="D1814">
        <v>5322</v>
      </c>
      <c r="E1814">
        <v>83549</v>
      </c>
    </row>
    <row r="1815" spans="1:5" x14ac:dyDescent="0.35">
      <c r="A1815" s="2">
        <v>44713</v>
      </c>
      <c r="B1815" t="s">
        <v>74</v>
      </c>
      <c r="C1815" t="s">
        <v>21</v>
      </c>
      <c r="D1815">
        <v>966</v>
      </c>
      <c r="E1815">
        <v>30435</v>
      </c>
    </row>
    <row r="1816" spans="1:5" x14ac:dyDescent="0.35">
      <c r="A1816" s="2">
        <v>44713</v>
      </c>
      <c r="B1816" t="s">
        <v>72</v>
      </c>
      <c r="C1816" t="s">
        <v>21</v>
      </c>
      <c r="D1816">
        <v>104</v>
      </c>
      <c r="E1816">
        <v>5610</v>
      </c>
    </row>
    <row r="1817" spans="1:5" x14ac:dyDescent="0.35">
      <c r="A1817" s="2">
        <v>44713</v>
      </c>
      <c r="B1817" t="s">
        <v>57</v>
      </c>
      <c r="C1817" t="s">
        <v>21</v>
      </c>
      <c r="D1817">
        <v>159</v>
      </c>
      <c r="E1817">
        <v>8064</v>
      </c>
    </row>
    <row r="1818" spans="1:5" x14ac:dyDescent="0.35">
      <c r="A1818" s="2">
        <v>44713</v>
      </c>
      <c r="B1818" t="s">
        <v>75</v>
      </c>
      <c r="C1818" t="s">
        <v>21</v>
      </c>
      <c r="D1818">
        <v>461</v>
      </c>
      <c r="E1818">
        <v>32650</v>
      </c>
    </row>
    <row r="1819" spans="1:5" x14ac:dyDescent="0.35">
      <c r="A1819" s="2">
        <v>44713</v>
      </c>
      <c r="B1819" t="s">
        <v>79</v>
      </c>
      <c r="C1819" t="s">
        <v>21</v>
      </c>
      <c r="D1819">
        <v>6800</v>
      </c>
      <c r="E1819">
        <v>91707</v>
      </c>
    </row>
    <row r="1820" spans="1:5" x14ac:dyDescent="0.35">
      <c r="A1820" s="2">
        <v>44713</v>
      </c>
      <c r="B1820" t="s">
        <v>80</v>
      </c>
      <c r="C1820" t="s">
        <v>21</v>
      </c>
      <c r="D1820">
        <v>2568</v>
      </c>
      <c r="E1820">
        <v>44015</v>
      </c>
    </row>
    <row r="1821" spans="1:5" x14ac:dyDescent="0.35">
      <c r="A1821" s="2">
        <v>44713</v>
      </c>
      <c r="B1821" t="s">
        <v>58</v>
      </c>
      <c r="C1821" t="s">
        <v>21</v>
      </c>
      <c r="D1821">
        <v>14</v>
      </c>
      <c r="E1821">
        <v>590</v>
      </c>
    </row>
    <row r="1822" spans="1:5" x14ac:dyDescent="0.35">
      <c r="A1822" s="2">
        <v>44713</v>
      </c>
      <c r="B1822" t="s">
        <v>68</v>
      </c>
      <c r="C1822" t="s">
        <v>21</v>
      </c>
      <c r="D1822">
        <v>1434</v>
      </c>
      <c r="E1822">
        <v>83413</v>
      </c>
    </row>
    <row r="1823" spans="1:5" x14ac:dyDescent="0.35">
      <c r="A1823" s="2">
        <v>44713</v>
      </c>
      <c r="B1823" t="s">
        <v>81</v>
      </c>
      <c r="C1823" t="s">
        <v>21</v>
      </c>
      <c r="D1823">
        <v>7880</v>
      </c>
      <c r="E1823">
        <v>115725</v>
      </c>
    </row>
    <row r="1824" spans="1:5" x14ac:dyDescent="0.35">
      <c r="A1824" s="2">
        <v>44713</v>
      </c>
      <c r="B1824" t="s">
        <v>59</v>
      </c>
      <c r="C1824" t="s">
        <v>21</v>
      </c>
      <c r="D1824">
        <v>13</v>
      </c>
      <c r="E1824">
        <v>3391</v>
      </c>
    </row>
    <row r="1825" spans="1:5" x14ac:dyDescent="0.35">
      <c r="A1825" s="2">
        <v>44713</v>
      </c>
      <c r="B1825" t="s">
        <v>60</v>
      </c>
      <c r="C1825" t="s">
        <v>21</v>
      </c>
      <c r="D1825">
        <v>2</v>
      </c>
      <c r="E1825">
        <v>1291</v>
      </c>
    </row>
    <row r="1826" spans="1:5" x14ac:dyDescent="0.35">
      <c r="A1826" s="2">
        <v>44713</v>
      </c>
      <c r="B1826" t="s">
        <v>61</v>
      </c>
      <c r="C1826" t="s">
        <v>21</v>
      </c>
      <c r="D1826">
        <v>2</v>
      </c>
      <c r="E1826">
        <v>1750</v>
      </c>
    </row>
    <row r="1827" spans="1:5" x14ac:dyDescent="0.35">
      <c r="A1827" s="2">
        <v>44713</v>
      </c>
      <c r="B1827" t="s">
        <v>69</v>
      </c>
      <c r="C1827" t="s">
        <v>21</v>
      </c>
      <c r="D1827">
        <v>1693</v>
      </c>
      <c r="E1827">
        <v>39143</v>
      </c>
    </row>
    <row r="1828" spans="1:5" x14ac:dyDescent="0.35">
      <c r="A1828" s="2">
        <v>44713</v>
      </c>
      <c r="B1828" t="s">
        <v>63</v>
      </c>
      <c r="C1828" t="s">
        <v>21</v>
      </c>
      <c r="D1828">
        <v>85</v>
      </c>
      <c r="E1828">
        <v>3331</v>
      </c>
    </row>
    <row r="1829" spans="1:5" x14ac:dyDescent="0.35">
      <c r="A1829" s="2">
        <v>44713</v>
      </c>
      <c r="B1829" t="s">
        <v>70</v>
      </c>
      <c r="C1829" t="s">
        <v>21</v>
      </c>
      <c r="D1829">
        <v>514</v>
      </c>
      <c r="E1829">
        <v>28256</v>
      </c>
    </row>
    <row r="1830" spans="1:5" x14ac:dyDescent="0.35">
      <c r="A1830" s="2">
        <v>44713</v>
      </c>
      <c r="B1830" t="s">
        <v>82</v>
      </c>
      <c r="C1830" t="s">
        <v>21</v>
      </c>
      <c r="D1830">
        <v>3427</v>
      </c>
      <c r="E1830">
        <v>58281</v>
      </c>
    </row>
    <row r="1831" spans="1:5" x14ac:dyDescent="0.35">
      <c r="A1831" s="2">
        <v>44713</v>
      </c>
      <c r="B1831" t="s">
        <v>83</v>
      </c>
      <c r="C1831" t="s">
        <v>21</v>
      </c>
      <c r="D1831">
        <v>3749</v>
      </c>
      <c r="E1831">
        <v>110740</v>
      </c>
    </row>
    <row r="1832" spans="1:5" x14ac:dyDescent="0.35">
      <c r="A1832" s="2">
        <v>44713</v>
      </c>
      <c r="B1832" t="s">
        <v>64</v>
      </c>
      <c r="C1832" t="s">
        <v>21</v>
      </c>
      <c r="D1832">
        <v>21</v>
      </c>
      <c r="E1832">
        <v>2761</v>
      </c>
    </row>
    <row r="1833" spans="1:5" x14ac:dyDescent="0.35">
      <c r="A1833" s="2">
        <v>44713</v>
      </c>
      <c r="B1833" t="s">
        <v>84</v>
      </c>
      <c r="C1833" t="s">
        <v>21</v>
      </c>
      <c r="D1833">
        <v>1361</v>
      </c>
      <c r="E1833">
        <v>198411</v>
      </c>
    </row>
    <row r="1834" spans="1:5" x14ac:dyDescent="0.35">
      <c r="A1834" s="2">
        <v>44713</v>
      </c>
      <c r="B1834" t="s">
        <v>71</v>
      </c>
      <c r="C1834" t="s">
        <v>21</v>
      </c>
      <c r="D1834">
        <v>374</v>
      </c>
      <c r="E1834">
        <v>13121</v>
      </c>
    </row>
    <row r="1835" spans="1:5" x14ac:dyDescent="0.35">
      <c r="A1835" s="2">
        <v>44713</v>
      </c>
      <c r="B1835" t="s">
        <v>85</v>
      </c>
      <c r="C1835" t="s">
        <v>21</v>
      </c>
      <c r="D1835">
        <v>660</v>
      </c>
      <c r="E1835">
        <v>67878</v>
      </c>
    </row>
    <row r="1836" spans="1:5" x14ac:dyDescent="0.35">
      <c r="A1836" s="2">
        <v>44743</v>
      </c>
      <c r="B1836" t="s">
        <v>76</v>
      </c>
      <c r="C1836" t="s">
        <v>21</v>
      </c>
      <c r="D1836">
        <v>1921</v>
      </c>
      <c r="E1836">
        <v>42632</v>
      </c>
    </row>
    <row r="1837" spans="1:5" x14ac:dyDescent="0.35">
      <c r="A1837" s="2">
        <v>44743</v>
      </c>
      <c r="B1837" t="s">
        <v>54</v>
      </c>
      <c r="C1837" t="s">
        <v>21</v>
      </c>
      <c r="D1837">
        <v>120</v>
      </c>
      <c r="E1837">
        <v>26803</v>
      </c>
    </row>
    <row r="1838" spans="1:5" x14ac:dyDescent="0.35">
      <c r="A1838" s="2">
        <v>44743</v>
      </c>
      <c r="B1838" t="s">
        <v>65</v>
      </c>
      <c r="C1838" t="s">
        <v>21</v>
      </c>
      <c r="D1838">
        <v>638</v>
      </c>
      <c r="E1838">
        <v>62773</v>
      </c>
    </row>
    <row r="1839" spans="1:5" x14ac:dyDescent="0.35">
      <c r="A1839" s="2">
        <v>44743</v>
      </c>
      <c r="B1839" t="s">
        <v>66</v>
      </c>
      <c r="C1839" t="s">
        <v>21</v>
      </c>
      <c r="D1839">
        <v>58</v>
      </c>
      <c r="E1839">
        <v>2086</v>
      </c>
    </row>
    <row r="1840" spans="1:5" x14ac:dyDescent="0.35">
      <c r="A1840" s="2">
        <v>44743</v>
      </c>
      <c r="B1840" t="s">
        <v>55</v>
      </c>
      <c r="C1840" t="s">
        <v>21</v>
      </c>
      <c r="D1840">
        <v>1309</v>
      </c>
      <c r="E1840">
        <v>26466</v>
      </c>
    </row>
    <row r="1841" spans="1:5" x14ac:dyDescent="0.35">
      <c r="A1841" s="2">
        <v>44743</v>
      </c>
      <c r="B1841" t="s">
        <v>56</v>
      </c>
      <c r="C1841" t="s">
        <v>21</v>
      </c>
      <c r="D1841">
        <v>9</v>
      </c>
      <c r="E1841">
        <v>735</v>
      </c>
    </row>
    <row r="1842" spans="1:5" x14ac:dyDescent="0.35">
      <c r="A1842" s="2">
        <v>44743</v>
      </c>
      <c r="B1842" t="s">
        <v>67</v>
      </c>
      <c r="C1842" t="s">
        <v>21</v>
      </c>
      <c r="D1842">
        <v>2658</v>
      </c>
      <c r="E1842">
        <v>30654</v>
      </c>
    </row>
    <row r="1843" spans="1:5" x14ac:dyDescent="0.35">
      <c r="A1843" s="2">
        <v>44743</v>
      </c>
      <c r="B1843" t="s">
        <v>77</v>
      </c>
      <c r="C1843" t="s">
        <v>21</v>
      </c>
      <c r="D1843">
        <v>579</v>
      </c>
      <c r="E1843">
        <v>2801</v>
      </c>
    </row>
    <row r="1844" spans="1:5" x14ac:dyDescent="0.35">
      <c r="A1844" s="2">
        <v>44743</v>
      </c>
      <c r="B1844" t="s">
        <v>78</v>
      </c>
      <c r="C1844" t="s">
        <v>21</v>
      </c>
      <c r="D1844">
        <v>5592</v>
      </c>
      <c r="E1844">
        <v>83341</v>
      </c>
    </row>
    <row r="1845" spans="1:5" x14ac:dyDescent="0.35">
      <c r="A1845" s="2">
        <v>44743</v>
      </c>
      <c r="B1845" t="s">
        <v>74</v>
      </c>
      <c r="C1845" t="s">
        <v>21</v>
      </c>
      <c r="D1845">
        <v>710</v>
      </c>
      <c r="E1845">
        <v>30657</v>
      </c>
    </row>
    <row r="1846" spans="1:5" x14ac:dyDescent="0.35">
      <c r="A1846" s="2">
        <v>44743</v>
      </c>
      <c r="B1846" t="s">
        <v>72</v>
      </c>
      <c r="C1846" t="s">
        <v>21</v>
      </c>
      <c r="D1846">
        <v>92</v>
      </c>
      <c r="E1846">
        <v>5377</v>
      </c>
    </row>
    <row r="1847" spans="1:5" x14ac:dyDescent="0.35">
      <c r="A1847" s="2">
        <v>44743</v>
      </c>
      <c r="B1847" t="s">
        <v>57</v>
      </c>
      <c r="C1847" t="s">
        <v>21</v>
      </c>
      <c r="D1847">
        <v>316</v>
      </c>
      <c r="E1847">
        <v>8717</v>
      </c>
    </row>
    <row r="1848" spans="1:5" x14ac:dyDescent="0.35">
      <c r="A1848" s="2">
        <v>44743</v>
      </c>
      <c r="B1848" t="s">
        <v>75</v>
      </c>
      <c r="C1848" t="s">
        <v>21</v>
      </c>
      <c r="D1848">
        <v>589</v>
      </c>
      <c r="E1848">
        <v>32122</v>
      </c>
    </row>
    <row r="1849" spans="1:5" x14ac:dyDescent="0.35">
      <c r="A1849" s="2">
        <v>44743</v>
      </c>
      <c r="B1849" t="s">
        <v>79</v>
      </c>
      <c r="C1849" t="s">
        <v>21</v>
      </c>
      <c r="D1849">
        <v>5689</v>
      </c>
      <c r="E1849">
        <v>77333</v>
      </c>
    </row>
    <row r="1850" spans="1:5" x14ac:dyDescent="0.35">
      <c r="A1850" s="2">
        <v>44743</v>
      </c>
      <c r="B1850" t="s">
        <v>80</v>
      </c>
      <c r="C1850" t="s">
        <v>21</v>
      </c>
      <c r="D1850">
        <v>1964</v>
      </c>
      <c r="E1850">
        <v>37691</v>
      </c>
    </row>
    <row r="1851" spans="1:5" x14ac:dyDescent="0.35">
      <c r="A1851" s="2">
        <v>44743</v>
      </c>
      <c r="B1851" t="s">
        <v>68</v>
      </c>
      <c r="C1851" t="s">
        <v>21</v>
      </c>
      <c r="D1851">
        <v>1722</v>
      </c>
      <c r="E1851">
        <v>81579</v>
      </c>
    </row>
    <row r="1852" spans="1:5" x14ac:dyDescent="0.35">
      <c r="A1852" s="2">
        <v>44743</v>
      </c>
      <c r="B1852" t="s">
        <v>81</v>
      </c>
      <c r="C1852" t="s">
        <v>21</v>
      </c>
      <c r="D1852">
        <v>8446</v>
      </c>
      <c r="E1852">
        <v>111895</v>
      </c>
    </row>
    <row r="1853" spans="1:5" x14ac:dyDescent="0.35">
      <c r="A1853" s="2">
        <v>44743</v>
      </c>
      <c r="B1853" t="s">
        <v>59</v>
      </c>
      <c r="C1853" t="s">
        <v>21</v>
      </c>
      <c r="D1853">
        <v>21</v>
      </c>
      <c r="E1853">
        <v>4103</v>
      </c>
    </row>
    <row r="1854" spans="1:5" x14ac:dyDescent="0.35">
      <c r="A1854" s="2">
        <v>44743</v>
      </c>
      <c r="B1854" t="s">
        <v>60</v>
      </c>
      <c r="C1854" t="s">
        <v>21</v>
      </c>
      <c r="D1854">
        <v>3</v>
      </c>
      <c r="E1854">
        <v>1363</v>
      </c>
    </row>
    <row r="1855" spans="1:5" x14ac:dyDescent="0.35">
      <c r="A1855" s="2">
        <v>44743</v>
      </c>
      <c r="B1855" t="s">
        <v>69</v>
      </c>
      <c r="C1855" t="s">
        <v>21</v>
      </c>
      <c r="D1855">
        <v>1816</v>
      </c>
      <c r="E1855">
        <v>32549</v>
      </c>
    </row>
    <row r="1856" spans="1:5" x14ac:dyDescent="0.35">
      <c r="A1856" s="2">
        <v>44743</v>
      </c>
      <c r="B1856" t="s">
        <v>63</v>
      </c>
      <c r="C1856" t="s">
        <v>21</v>
      </c>
      <c r="D1856">
        <v>71</v>
      </c>
      <c r="E1856">
        <v>3298</v>
      </c>
    </row>
    <row r="1857" spans="1:5" x14ac:dyDescent="0.35">
      <c r="A1857" s="2">
        <v>44743</v>
      </c>
      <c r="B1857" t="s">
        <v>70</v>
      </c>
      <c r="C1857" t="s">
        <v>21</v>
      </c>
      <c r="D1857">
        <v>603</v>
      </c>
      <c r="E1857">
        <v>27082</v>
      </c>
    </row>
    <row r="1858" spans="1:5" x14ac:dyDescent="0.35">
      <c r="A1858" s="2">
        <v>44743</v>
      </c>
      <c r="B1858" t="s">
        <v>82</v>
      </c>
      <c r="C1858" t="s">
        <v>21</v>
      </c>
      <c r="D1858">
        <v>4574</v>
      </c>
      <c r="E1858">
        <v>63752</v>
      </c>
    </row>
    <row r="1859" spans="1:5" x14ac:dyDescent="0.35">
      <c r="A1859" s="2">
        <v>44743</v>
      </c>
      <c r="B1859" t="s">
        <v>83</v>
      </c>
      <c r="C1859" t="s">
        <v>21</v>
      </c>
      <c r="D1859">
        <v>4180</v>
      </c>
      <c r="E1859">
        <v>103800</v>
      </c>
    </row>
    <row r="1860" spans="1:5" x14ac:dyDescent="0.35">
      <c r="A1860" s="2">
        <v>44743</v>
      </c>
      <c r="B1860" t="s">
        <v>64</v>
      </c>
      <c r="C1860" t="s">
        <v>21</v>
      </c>
      <c r="D1860">
        <v>2</v>
      </c>
      <c r="E1860">
        <v>2632</v>
      </c>
    </row>
    <row r="1861" spans="1:5" x14ac:dyDescent="0.35">
      <c r="A1861" s="2">
        <v>44743</v>
      </c>
      <c r="B1861" t="s">
        <v>84</v>
      </c>
      <c r="C1861" t="s">
        <v>21</v>
      </c>
      <c r="D1861">
        <v>1828</v>
      </c>
      <c r="E1861">
        <v>153826</v>
      </c>
    </row>
    <row r="1862" spans="1:5" x14ac:dyDescent="0.35">
      <c r="A1862" s="2">
        <v>44743</v>
      </c>
      <c r="B1862" t="s">
        <v>71</v>
      </c>
      <c r="C1862" t="s">
        <v>21</v>
      </c>
      <c r="D1862">
        <v>404</v>
      </c>
      <c r="E1862">
        <v>12603</v>
      </c>
    </row>
    <row r="1863" spans="1:5" x14ac:dyDescent="0.35">
      <c r="A1863" s="2">
        <v>44743</v>
      </c>
      <c r="B1863" t="s">
        <v>85</v>
      </c>
      <c r="C1863" t="s">
        <v>21</v>
      </c>
      <c r="D1863">
        <v>689</v>
      </c>
      <c r="E1863">
        <v>62610</v>
      </c>
    </row>
    <row r="1864" spans="1:5" x14ac:dyDescent="0.35">
      <c r="A1864" s="2">
        <v>44774</v>
      </c>
      <c r="B1864" t="s">
        <v>76</v>
      </c>
      <c r="C1864" t="s">
        <v>21</v>
      </c>
      <c r="D1864">
        <v>1898</v>
      </c>
      <c r="E1864">
        <v>54365</v>
      </c>
    </row>
    <row r="1865" spans="1:5" x14ac:dyDescent="0.35">
      <c r="A1865" s="2">
        <v>44774</v>
      </c>
      <c r="B1865" t="s">
        <v>54</v>
      </c>
      <c r="C1865" t="s">
        <v>21</v>
      </c>
      <c r="D1865">
        <v>202</v>
      </c>
      <c r="E1865">
        <v>27466</v>
      </c>
    </row>
    <row r="1866" spans="1:5" x14ac:dyDescent="0.35">
      <c r="A1866" s="2">
        <v>44774</v>
      </c>
      <c r="B1866" t="s">
        <v>65</v>
      </c>
      <c r="C1866" t="s">
        <v>21</v>
      </c>
      <c r="D1866">
        <v>849</v>
      </c>
      <c r="E1866">
        <v>64565</v>
      </c>
    </row>
    <row r="1867" spans="1:5" x14ac:dyDescent="0.35">
      <c r="A1867" s="2">
        <v>44774</v>
      </c>
      <c r="B1867" t="s">
        <v>66</v>
      </c>
      <c r="C1867" t="s">
        <v>21</v>
      </c>
      <c r="D1867">
        <v>59</v>
      </c>
      <c r="E1867">
        <v>1896</v>
      </c>
    </row>
    <row r="1868" spans="1:5" x14ac:dyDescent="0.35">
      <c r="A1868" s="2">
        <v>44774</v>
      </c>
      <c r="B1868" t="s">
        <v>55</v>
      </c>
      <c r="C1868" t="s">
        <v>21</v>
      </c>
      <c r="D1868">
        <v>1360</v>
      </c>
      <c r="E1868">
        <v>23146</v>
      </c>
    </row>
    <row r="1869" spans="1:5" x14ac:dyDescent="0.35">
      <c r="A1869" s="2">
        <v>44774</v>
      </c>
      <c r="B1869" t="s">
        <v>56</v>
      </c>
      <c r="C1869" t="s">
        <v>21</v>
      </c>
      <c r="D1869">
        <v>6</v>
      </c>
      <c r="E1869">
        <v>742</v>
      </c>
    </row>
    <row r="1870" spans="1:5" x14ac:dyDescent="0.35">
      <c r="A1870" s="2">
        <v>44774</v>
      </c>
      <c r="B1870" t="s">
        <v>67</v>
      </c>
      <c r="C1870" t="s">
        <v>21</v>
      </c>
      <c r="D1870">
        <v>3259</v>
      </c>
      <c r="E1870">
        <v>31869</v>
      </c>
    </row>
    <row r="1871" spans="1:5" x14ac:dyDescent="0.35">
      <c r="A1871" s="2">
        <v>44774</v>
      </c>
      <c r="B1871" t="s">
        <v>77</v>
      </c>
      <c r="C1871" t="s">
        <v>21</v>
      </c>
      <c r="D1871">
        <v>303</v>
      </c>
      <c r="E1871">
        <v>4503</v>
      </c>
    </row>
    <row r="1872" spans="1:5" x14ac:dyDescent="0.35">
      <c r="A1872" s="2">
        <v>44774</v>
      </c>
      <c r="B1872" t="s">
        <v>78</v>
      </c>
      <c r="C1872" t="s">
        <v>21</v>
      </c>
      <c r="D1872">
        <v>5059</v>
      </c>
      <c r="E1872">
        <v>74982</v>
      </c>
    </row>
    <row r="1873" spans="1:5" x14ac:dyDescent="0.35">
      <c r="A1873" s="2">
        <v>44774</v>
      </c>
      <c r="B1873" t="s">
        <v>74</v>
      </c>
      <c r="C1873" t="s">
        <v>21</v>
      </c>
      <c r="D1873">
        <v>915</v>
      </c>
      <c r="E1873">
        <v>33336</v>
      </c>
    </row>
    <row r="1874" spans="1:5" x14ac:dyDescent="0.35">
      <c r="A1874" s="2">
        <v>44774</v>
      </c>
      <c r="B1874" t="s">
        <v>72</v>
      </c>
      <c r="C1874" t="s">
        <v>21</v>
      </c>
      <c r="D1874">
        <v>59</v>
      </c>
      <c r="E1874">
        <v>5281</v>
      </c>
    </row>
    <row r="1875" spans="1:5" x14ac:dyDescent="0.35">
      <c r="A1875" s="2">
        <v>44774</v>
      </c>
      <c r="B1875" t="s">
        <v>57</v>
      </c>
      <c r="C1875" t="s">
        <v>21</v>
      </c>
      <c r="D1875">
        <v>182</v>
      </c>
      <c r="E1875">
        <v>9131</v>
      </c>
    </row>
    <row r="1876" spans="1:5" x14ac:dyDescent="0.35">
      <c r="A1876" s="2">
        <v>44774</v>
      </c>
      <c r="B1876" t="s">
        <v>75</v>
      </c>
      <c r="C1876" t="s">
        <v>21</v>
      </c>
      <c r="D1876">
        <v>561</v>
      </c>
      <c r="E1876">
        <v>25332</v>
      </c>
    </row>
    <row r="1877" spans="1:5" x14ac:dyDescent="0.35">
      <c r="A1877" s="2">
        <v>44774</v>
      </c>
      <c r="B1877" t="s">
        <v>79</v>
      </c>
      <c r="C1877" t="s">
        <v>21</v>
      </c>
      <c r="D1877">
        <v>7476</v>
      </c>
      <c r="E1877">
        <v>88611</v>
      </c>
    </row>
    <row r="1878" spans="1:5" x14ac:dyDescent="0.35">
      <c r="A1878" s="2">
        <v>44774</v>
      </c>
      <c r="B1878" t="s">
        <v>80</v>
      </c>
      <c r="C1878" t="s">
        <v>21</v>
      </c>
      <c r="D1878">
        <v>3069</v>
      </c>
      <c r="E1878">
        <v>50954</v>
      </c>
    </row>
    <row r="1879" spans="1:5" x14ac:dyDescent="0.35">
      <c r="A1879" s="2">
        <v>44774</v>
      </c>
      <c r="B1879" t="s">
        <v>68</v>
      </c>
      <c r="C1879" t="s">
        <v>21</v>
      </c>
      <c r="D1879">
        <v>1931</v>
      </c>
      <c r="E1879">
        <v>98165</v>
      </c>
    </row>
    <row r="1880" spans="1:5" x14ac:dyDescent="0.35">
      <c r="A1880" s="2">
        <v>44774</v>
      </c>
      <c r="B1880" t="s">
        <v>81</v>
      </c>
      <c r="C1880" t="s">
        <v>21</v>
      </c>
      <c r="D1880">
        <v>9723</v>
      </c>
      <c r="E1880">
        <v>118886</v>
      </c>
    </row>
    <row r="1881" spans="1:5" x14ac:dyDescent="0.35">
      <c r="A1881" s="2">
        <v>44774</v>
      </c>
      <c r="B1881" t="s">
        <v>59</v>
      </c>
      <c r="C1881" t="s">
        <v>21</v>
      </c>
      <c r="D1881">
        <v>8</v>
      </c>
      <c r="E1881">
        <v>3647</v>
      </c>
    </row>
    <row r="1882" spans="1:5" x14ac:dyDescent="0.35">
      <c r="A1882" s="2">
        <v>44774</v>
      </c>
      <c r="B1882" t="s">
        <v>60</v>
      </c>
      <c r="C1882" t="s">
        <v>21</v>
      </c>
      <c r="D1882">
        <v>2</v>
      </c>
      <c r="E1882">
        <v>1734</v>
      </c>
    </row>
    <row r="1883" spans="1:5" x14ac:dyDescent="0.35">
      <c r="A1883" s="2">
        <v>44774</v>
      </c>
      <c r="B1883" t="s">
        <v>61</v>
      </c>
      <c r="C1883" t="s">
        <v>21</v>
      </c>
      <c r="D1883">
        <v>6</v>
      </c>
      <c r="E1883">
        <v>2062</v>
      </c>
    </row>
    <row r="1884" spans="1:5" x14ac:dyDescent="0.35">
      <c r="A1884" s="2">
        <v>44774</v>
      </c>
      <c r="B1884" t="s">
        <v>69</v>
      </c>
      <c r="C1884" t="s">
        <v>21</v>
      </c>
      <c r="D1884">
        <v>2007</v>
      </c>
      <c r="E1884">
        <v>30540</v>
      </c>
    </row>
    <row r="1885" spans="1:5" x14ac:dyDescent="0.35">
      <c r="A1885" s="2">
        <v>44774</v>
      </c>
      <c r="B1885" t="s">
        <v>63</v>
      </c>
      <c r="C1885" t="s">
        <v>21</v>
      </c>
      <c r="D1885">
        <v>91</v>
      </c>
      <c r="E1885">
        <v>3810</v>
      </c>
    </row>
    <row r="1886" spans="1:5" x14ac:dyDescent="0.35">
      <c r="A1886" s="2">
        <v>44774</v>
      </c>
      <c r="B1886" t="s">
        <v>70</v>
      </c>
      <c r="C1886" t="s">
        <v>21</v>
      </c>
      <c r="D1886">
        <v>645</v>
      </c>
      <c r="E1886">
        <v>32591</v>
      </c>
    </row>
    <row r="1887" spans="1:5" x14ac:dyDescent="0.35">
      <c r="A1887" s="2">
        <v>44774</v>
      </c>
      <c r="B1887" t="s">
        <v>82</v>
      </c>
      <c r="C1887" t="s">
        <v>21</v>
      </c>
      <c r="D1887">
        <v>4159</v>
      </c>
      <c r="E1887">
        <v>60191</v>
      </c>
    </row>
    <row r="1888" spans="1:5" x14ac:dyDescent="0.35">
      <c r="A1888" s="2">
        <v>44774</v>
      </c>
      <c r="B1888" t="s">
        <v>83</v>
      </c>
      <c r="C1888" t="s">
        <v>21</v>
      </c>
      <c r="D1888">
        <v>5306</v>
      </c>
      <c r="E1888">
        <v>120312</v>
      </c>
    </row>
    <row r="1889" spans="1:5" x14ac:dyDescent="0.35">
      <c r="A1889" s="2">
        <v>44774</v>
      </c>
      <c r="B1889" t="s">
        <v>64</v>
      </c>
      <c r="C1889" t="s">
        <v>21</v>
      </c>
      <c r="D1889">
        <v>14</v>
      </c>
      <c r="E1889">
        <v>2643</v>
      </c>
    </row>
    <row r="1890" spans="1:5" x14ac:dyDescent="0.35">
      <c r="A1890" s="2">
        <v>44774</v>
      </c>
      <c r="B1890" t="s">
        <v>84</v>
      </c>
      <c r="C1890" t="s">
        <v>21</v>
      </c>
      <c r="D1890">
        <v>1920</v>
      </c>
      <c r="E1890">
        <v>131703</v>
      </c>
    </row>
    <row r="1891" spans="1:5" x14ac:dyDescent="0.35">
      <c r="A1891" s="2">
        <v>44774</v>
      </c>
      <c r="B1891" t="s">
        <v>71</v>
      </c>
      <c r="C1891" t="s">
        <v>21</v>
      </c>
      <c r="D1891">
        <v>494</v>
      </c>
      <c r="E1891">
        <v>12711</v>
      </c>
    </row>
    <row r="1892" spans="1:5" x14ac:dyDescent="0.35">
      <c r="A1892" s="2">
        <v>44774</v>
      </c>
      <c r="B1892" t="s">
        <v>85</v>
      </c>
      <c r="C1892" t="s">
        <v>21</v>
      </c>
      <c r="D1892">
        <v>663</v>
      </c>
      <c r="E1892">
        <v>62200</v>
      </c>
    </row>
    <row r="1893" spans="1:5" x14ac:dyDescent="0.35">
      <c r="A1893" s="2">
        <v>44805</v>
      </c>
      <c r="B1893" t="s">
        <v>76</v>
      </c>
      <c r="C1893" t="s">
        <v>21</v>
      </c>
      <c r="D1893">
        <v>2239</v>
      </c>
      <c r="E1893">
        <v>52804</v>
      </c>
    </row>
    <row r="1894" spans="1:5" x14ac:dyDescent="0.35">
      <c r="A1894" s="2">
        <v>44805</v>
      </c>
      <c r="B1894" t="s">
        <v>54</v>
      </c>
      <c r="C1894" t="s">
        <v>21</v>
      </c>
      <c r="D1894">
        <v>200</v>
      </c>
      <c r="E1894">
        <v>31729</v>
      </c>
    </row>
    <row r="1895" spans="1:5" x14ac:dyDescent="0.35">
      <c r="A1895" s="2">
        <v>44805</v>
      </c>
      <c r="B1895" t="s">
        <v>65</v>
      </c>
      <c r="C1895" t="s">
        <v>21</v>
      </c>
      <c r="D1895">
        <v>951</v>
      </c>
      <c r="E1895">
        <v>54364</v>
      </c>
    </row>
    <row r="1896" spans="1:5" x14ac:dyDescent="0.35">
      <c r="A1896" s="2">
        <v>44805</v>
      </c>
      <c r="B1896" t="s">
        <v>66</v>
      </c>
      <c r="C1896" t="s">
        <v>21</v>
      </c>
      <c r="D1896">
        <v>70</v>
      </c>
      <c r="E1896">
        <v>1929</v>
      </c>
    </row>
    <row r="1897" spans="1:5" x14ac:dyDescent="0.35">
      <c r="A1897" s="2">
        <v>44805</v>
      </c>
      <c r="B1897" t="s">
        <v>55</v>
      </c>
      <c r="C1897" t="s">
        <v>21</v>
      </c>
      <c r="D1897">
        <v>1190</v>
      </c>
      <c r="E1897">
        <v>23465</v>
      </c>
    </row>
    <row r="1898" spans="1:5" x14ac:dyDescent="0.35">
      <c r="A1898" s="2">
        <v>44805</v>
      </c>
      <c r="B1898" t="s">
        <v>56</v>
      </c>
      <c r="C1898" t="s">
        <v>21</v>
      </c>
      <c r="D1898">
        <v>8</v>
      </c>
      <c r="E1898">
        <v>629</v>
      </c>
    </row>
    <row r="1899" spans="1:5" x14ac:dyDescent="0.35">
      <c r="A1899" s="2">
        <v>44805</v>
      </c>
      <c r="B1899" t="s">
        <v>67</v>
      </c>
      <c r="C1899" t="s">
        <v>21</v>
      </c>
      <c r="D1899">
        <v>2301</v>
      </c>
      <c r="E1899">
        <v>25409</v>
      </c>
    </row>
    <row r="1900" spans="1:5" x14ac:dyDescent="0.35">
      <c r="A1900" s="2">
        <v>44805</v>
      </c>
      <c r="B1900" t="s">
        <v>77</v>
      </c>
      <c r="C1900" t="s">
        <v>21</v>
      </c>
      <c r="D1900">
        <v>400</v>
      </c>
      <c r="E1900">
        <v>4078</v>
      </c>
    </row>
    <row r="1901" spans="1:5" x14ac:dyDescent="0.35">
      <c r="A1901" s="2">
        <v>44805</v>
      </c>
      <c r="B1901" t="s">
        <v>78</v>
      </c>
      <c r="C1901" t="s">
        <v>21</v>
      </c>
      <c r="D1901">
        <v>5333</v>
      </c>
      <c r="E1901">
        <v>77920</v>
      </c>
    </row>
    <row r="1902" spans="1:5" x14ac:dyDescent="0.35">
      <c r="A1902" s="2">
        <v>44805</v>
      </c>
      <c r="B1902" t="s">
        <v>74</v>
      </c>
      <c r="C1902" t="s">
        <v>21</v>
      </c>
      <c r="D1902">
        <v>848</v>
      </c>
      <c r="E1902">
        <v>25832</v>
      </c>
    </row>
    <row r="1903" spans="1:5" x14ac:dyDescent="0.35">
      <c r="A1903" s="2">
        <v>44805</v>
      </c>
      <c r="B1903" t="s">
        <v>72</v>
      </c>
      <c r="C1903" t="s">
        <v>21</v>
      </c>
      <c r="D1903">
        <v>67</v>
      </c>
      <c r="E1903">
        <v>4101</v>
      </c>
    </row>
    <row r="1904" spans="1:5" x14ac:dyDescent="0.35">
      <c r="A1904" s="2">
        <v>44805</v>
      </c>
      <c r="B1904" t="s">
        <v>57</v>
      </c>
      <c r="C1904" t="s">
        <v>21</v>
      </c>
      <c r="D1904">
        <v>220</v>
      </c>
      <c r="E1904">
        <v>8320</v>
      </c>
    </row>
    <row r="1905" spans="1:5" x14ac:dyDescent="0.35">
      <c r="A1905" s="2">
        <v>44805</v>
      </c>
      <c r="B1905" t="s">
        <v>75</v>
      </c>
      <c r="C1905" t="s">
        <v>21</v>
      </c>
      <c r="D1905">
        <v>498</v>
      </c>
      <c r="E1905">
        <v>23758</v>
      </c>
    </row>
    <row r="1906" spans="1:5" x14ac:dyDescent="0.35">
      <c r="A1906" s="2">
        <v>44805</v>
      </c>
      <c r="B1906" t="s">
        <v>79</v>
      </c>
      <c r="C1906" t="s">
        <v>21</v>
      </c>
      <c r="D1906">
        <v>7616</v>
      </c>
      <c r="E1906">
        <v>87981</v>
      </c>
    </row>
    <row r="1907" spans="1:5" x14ac:dyDescent="0.35">
      <c r="A1907" s="2">
        <v>44805</v>
      </c>
      <c r="B1907" t="s">
        <v>80</v>
      </c>
      <c r="C1907" t="s">
        <v>21</v>
      </c>
      <c r="D1907">
        <v>3100</v>
      </c>
      <c r="E1907">
        <v>53877</v>
      </c>
    </row>
    <row r="1908" spans="1:5" x14ac:dyDescent="0.35">
      <c r="A1908" s="2">
        <v>44805</v>
      </c>
      <c r="B1908" t="s">
        <v>68</v>
      </c>
      <c r="C1908" t="s">
        <v>21</v>
      </c>
      <c r="D1908">
        <v>1898</v>
      </c>
      <c r="E1908">
        <v>53245</v>
      </c>
    </row>
    <row r="1909" spans="1:5" x14ac:dyDescent="0.35">
      <c r="A1909" s="2">
        <v>44805</v>
      </c>
      <c r="B1909" t="s">
        <v>81</v>
      </c>
      <c r="C1909" t="s">
        <v>21</v>
      </c>
      <c r="D1909">
        <v>10730</v>
      </c>
      <c r="E1909">
        <v>122642</v>
      </c>
    </row>
    <row r="1910" spans="1:5" x14ac:dyDescent="0.35">
      <c r="A1910" s="2">
        <v>44805</v>
      </c>
      <c r="B1910" t="s">
        <v>61</v>
      </c>
      <c r="C1910" t="s">
        <v>21</v>
      </c>
      <c r="D1910">
        <v>4</v>
      </c>
      <c r="E1910">
        <v>1568</v>
      </c>
    </row>
    <row r="1911" spans="1:5" x14ac:dyDescent="0.35">
      <c r="A1911" s="2">
        <v>44805</v>
      </c>
      <c r="B1911" t="s">
        <v>69</v>
      </c>
      <c r="C1911" t="s">
        <v>21</v>
      </c>
      <c r="D1911">
        <v>2197</v>
      </c>
      <c r="E1911">
        <v>36139</v>
      </c>
    </row>
    <row r="1912" spans="1:5" x14ac:dyDescent="0.35">
      <c r="A1912" s="2">
        <v>44805</v>
      </c>
      <c r="B1912" t="s">
        <v>63</v>
      </c>
      <c r="C1912" t="s">
        <v>21</v>
      </c>
      <c r="D1912">
        <v>114</v>
      </c>
      <c r="E1912">
        <v>3772</v>
      </c>
    </row>
    <row r="1913" spans="1:5" x14ac:dyDescent="0.35">
      <c r="A1913" s="2">
        <v>44805</v>
      </c>
      <c r="B1913" t="s">
        <v>70</v>
      </c>
      <c r="C1913" t="s">
        <v>21</v>
      </c>
      <c r="D1913">
        <v>590</v>
      </c>
      <c r="E1913">
        <v>27407</v>
      </c>
    </row>
    <row r="1914" spans="1:5" x14ac:dyDescent="0.35">
      <c r="A1914" s="2">
        <v>44805</v>
      </c>
      <c r="B1914" t="s">
        <v>82</v>
      </c>
      <c r="C1914" t="s">
        <v>21</v>
      </c>
      <c r="D1914">
        <v>4677</v>
      </c>
      <c r="E1914">
        <v>53951</v>
      </c>
    </row>
    <row r="1915" spans="1:5" x14ac:dyDescent="0.35">
      <c r="A1915" s="2">
        <v>44805</v>
      </c>
      <c r="B1915" t="s">
        <v>83</v>
      </c>
      <c r="C1915" t="s">
        <v>21</v>
      </c>
      <c r="D1915">
        <v>5112</v>
      </c>
      <c r="E1915">
        <v>121791</v>
      </c>
    </row>
    <row r="1916" spans="1:5" x14ac:dyDescent="0.35">
      <c r="A1916" s="2">
        <v>44805</v>
      </c>
      <c r="B1916" t="s">
        <v>64</v>
      </c>
      <c r="C1916" t="s">
        <v>21</v>
      </c>
      <c r="D1916">
        <v>17</v>
      </c>
      <c r="E1916">
        <v>3842</v>
      </c>
    </row>
    <row r="1917" spans="1:5" x14ac:dyDescent="0.35">
      <c r="A1917" s="2">
        <v>44805</v>
      </c>
      <c r="B1917" t="s">
        <v>84</v>
      </c>
      <c r="C1917" t="s">
        <v>21</v>
      </c>
      <c r="D1917">
        <v>1787</v>
      </c>
      <c r="E1917">
        <v>97293</v>
      </c>
    </row>
    <row r="1918" spans="1:5" x14ac:dyDescent="0.35">
      <c r="A1918" s="2">
        <v>44805</v>
      </c>
      <c r="B1918" t="s">
        <v>71</v>
      </c>
      <c r="C1918" t="s">
        <v>21</v>
      </c>
      <c r="D1918">
        <v>386</v>
      </c>
      <c r="E1918">
        <v>9325</v>
      </c>
    </row>
    <row r="1919" spans="1:5" x14ac:dyDescent="0.35">
      <c r="A1919" s="2">
        <v>44805</v>
      </c>
      <c r="B1919" t="s">
        <v>85</v>
      </c>
      <c r="C1919" t="s">
        <v>21</v>
      </c>
      <c r="D1919">
        <v>727</v>
      </c>
      <c r="E1919">
        <v>64255</v>
      </c>
    </row>
    <row r="1920" spans="1:5" x14ac:dyDescent="0.35">
      <c r="A1920" s="2">
        <v>44835</v>
      </c>
      <c r="B1920" t="s">
        <v>76</v>
      </c>
      <c r="C1920" t="s">
        <v>21</v>
      </c>
      <c r="D1920">
        <v>2568</v>
      </c>
      <c r="E1920">
        <v>74374</v>
      </c>
    </row>
    <row r="1921" spans="1:5" x14ac:dyDescent="0.35">
      <c r="A1921" s="2">
        <v>44835</v>
      </c>
      <c r="B1921" t="s">
        <v>54</v>
      </c>
      <c r="C1921" t="s">
        <v>21</v>
      </c>
      <c r="D1921">
        <v>194</v>
      </c>
      <c r="E1921">
        <v>38033</v>
      </c>
    </row>
    <row r="1922" spans="1:5" x14ac:dyDescent="0.35">
      <c r="A1922" s="2">
        <v>44835</v>
      </c>
      <c r="B1922" t="s">
        <v>65</v>
      </c>
      <c r="C1922" t="s">
        <v>21</v>
      </c>
      <c r="D1922">
        <v>1377</v>
      </c>
      <c r="E1922">
        <v>88895</v>
      </c>
    </row>
    <row r="1923" spans="1:5" x14ac:dyDescent="0.35">
      <c r="A1923" s="2">
        <v>44835</v>
      </c>
      <c r="B1923" t="s">
        <v>66</v>
      </c>
      <c r="C1923" t="s">
        <v>21</v>
      </c>
      <c r="D1923">
        <v>118</v>
      </c>
      <c r="E1923">
        <v>3103</v>
      </c>
    </row>
    <row r="1924" spans="1:5" x14ac:dyDescent="0.35">
      <c r="A1924" s="2">
        <v>44835</v>
      </c>
      <c r="B1924" t="s">
        <v>55</v>
      </c>
      <c r="C1924" t="s">
        <v>21</v>
      </c>
      <c r="D1924">
        <v>2471</v>
      </c>
      <c r="E1924">
        <v>57951</v>
      </c>
    </row>
    <row r="1925" spans="1:5" x14ac:dyDescent="0.35">
      <c r="A1925" s="2">
        <v>44835</v>
      </c>
      <c r="B1925" t="s">
        <v>56</v>
      </c>
      <c r="C1925" t="s">
        <v>21</v>
      </c>
      <c r="D1925">
        <v>5</v>
      </c>
      <c r="E1925">
        <v>619</v>
      </c>
    </row>
    <row r="1926" spans="1:5" x14ac:dyDescent="0.35">
      <c r="A1926" s="2">
        <v>44835</v>
      </c>
      <c r="B1926" t="s">
        <v>67</v>
      </c>
      <c r="C1926" t="s">
        <v>21</v>
      </c>
      <c r="D1926">
        <v>3699</v>
      </c>
      <c r="E1926">
        <v>50702</v>
      </c>
    </row>
    <row r="1927" spans="1:5" x14ac:dyDescent="0.35">
      <c r="A1927" s="2">
        <v>44835</v>
      </c>
      <c r="B1927" t="s">
        <v>77</v>
      </c>
      <c r="C1927" t="s">
        <v>21</v>
      </c>
      <c r="D1927">
        <v>704</v>
      </c>
      <c r="E1927">
        <v>6241</v>
      </c>
    </row>
    <row r="1928" spans="1:5" x14ac:dyDescent="0.35">
      <c r="A1928" s="2">
        <v>44835</v>
      </c>
      <c r="B1928" t="s">
        <v>78</v>
      </c>
      <c r="C1928" t="s">
        <v>21</v>
      </c>
      <c r="D1928">
        <v>6635</v>
      </c>
      <c r="E1928">
        <v>115540</v>
      </c>
    </row>
    <row r="1929" spans="1:5" x14ac:dyDescent="0.35">
      <c r="A1929" s="2">
        <v>44835</v>
      </c>
      <c r="B1929" t="s">
        <v>74</v>
      </c>
      <c r="C1929" t="s">
        <v>21</v>
      </c>
      <c r="D1929">
        <v>1313</v>
      </c>
      <c r="E1929">
        <v>38921</v>
      </c>
    </row>
    <row r="1930" spans="1:5" x14ac:dyDescent="0.35">
      <c r="A1930" s="2">
        <v>44835</v>
      </c>
      <c r="B1930" t="s">
        <v>72</v>
      </c>
      <c r="C1930" t="s">
        <v>21</v>
      </c>
      <c r="D1930">
        <v>79</v>
      </c>
      <c r="E1930">
        <v>5548</v>
      </c>
    </row>
    <row r="1931" spans="1:5" x14ac:dyDescent="0.35">
      <c r="A1931" s="2">
        <v>44835</v>
      </c>
      <c r="B1931" t="s">
        <v>57</v>
      </c>
      <c r="C1931" t="s">
        <v>21</v>
      </c>
      <c r="D1931">
        <v>258</v>
      </c>
      <c r="E1931">
        <v>9184</v>
      </c>
    </row>
    <row r="1932" spans="1:5" x14ac:dyDescent="0.35">
      <c r="A1932" s="2">
        <v>44835</v>
      </c>
      <c r="B1932" t="s">
        <v>75</v>
      </c>
      <c r="C1932" t="s">
        <v>21</v>
      </c>
      <c r="D1932">
        <v>949</v>
      </c>
      <c r="E1932">
        <v>50073</v>
      </c>
    </row>
    <row r="1933" spans="1:5" x14ac:dyDescent="0.35">
      <c r="A1933" s="2">
        <v>44835</v>
      </c>
      <c r="B1933" t="s">
        <v>79</v>
      </c>
      <c r="C1933" t="s">
        <v>21</v>
      </c>
      <c r="D1933">
        <v>9706</v>
      </c>
      <c r="E1933">
        <v>117015</v>
      </c>
    </row>
    <row r="1934" spans="1:5" x14ac:dyDescent="0.35">
      <c r="A1934" s="2">
        <v>44835</v>
      </c>
      <c r="B1934" t="s">
        <v>80</v>
      </c>
      <c r="C1934" t="s">
        <v>21</v>
      </c>
      <c r="D1934">
        <v>3629</v>
      </c>
      <c r="E1934">
        <v>44021</v>
      </c>
    </row>
    <row r="1935" spans="1:5" x14ac:dyDescent="0.35">
      <c r="A1935" s="2">
        <v>44835</v>
      </c>
      <c r="B1935" t="s">
        <v>68</v>
      </c>
      <c r="C1935" t="s">
        <v>21</v>
      </c>
      <c r="D1935">
        <v>3616</v>
      </c>
      <c r="E1935">
        <v>137210</v>
      </c>
    </row>
    <row r="1936" spans="1:5" x14ac:dyDescent="0.35">
      <c r="A1936" s="2">
        <v>44835</v>
      </c>
      <c r="B1936" t="s">
        <v>81</v>
      </c>
      <c r="C1936" t="s">
        <v>21</v>
      </c>
      <c r="D1936">
        <v>15999</v>
      </c>
      <c r="E1936">
        <v>189870</v>
      </c>
    </row>
    <row r="1937" spans="1:5" x14ac:dyDescent="0.35">
      <c r="A1937" s="2">
        <v>44835</v>
      </c>
      <c r="B1937" t="s">
        <v>59</v>
      </c>
      <c r="C1937" t="s">
        <v>21</v>
      </c>
      <c r="D1937">
        <v>4</v>
      </c>
      <c r="E1937">
        <v>2532</v>
      </c>
    </row>
    <row r="1938" spans="1:5" x14ac:dyDescent="0.35">
      <c r="A1938" s="2">
        <v>44835</v>
      </c>
      <c r="B1938" t="s">
        <v>60</v>
      </c>
      <c r="C1938" t="s">
        <v>21</v>
      </c>
      <c r="D1938">
        <v>5</v>
      </c>
      <c r="E1938">
        <v>1558</v>
      </c>
    </row>
    <row r="1939" spans="1:5" x14ac:dyDescent="0.35">
      <c r="A1939" s="2">
        <v>44835</v>
      </c>
      <c r="B1939" t="s">
        <v>61</v>
      </c>
      <c r="C1939" t="s">
        <v>21</v>
      </c>
      <c r="D1939">
        <v>3</v>
      </c>
      <c r="E1939">
        <v>1638</v>
      </c>
    </row>
    <row r="1940" spans="1:5" x14ac:dyDescent="0.35">
      <c r="A1940" s="2">
        <v>44835</v>
      </c>
      <c r="B1940" t="s">
        <v>69</v>
      </c>
      <c r="C1940" t="s">
        <v>21</v>
      </c>
      <c r="D1940">
        <v>3695</v>
      </c>
      <c r="E1940">
        <v>72161</v>
      </c>
    </row>
    <row r="1941" spans="1:5" x14ac:dyDescent="0.35">
      <c r="A1941" s="2">
        <v>44835</v>
      </c>
      <c r="B1941" t="s">
        <v>63</v>
      </c>
      <c r="C1941" t="s">
        <v>21</v>
      </c>
      <c r="D1941">
        <v>180</v>
      </c>
      <c r="E1941">
        <v>3564</v>
      </c>
    </row>
    <row r="1942" spans="1:5" x14ac:dyDescent="0.35">
      <c r="A1942" s="2">
        <v>44835</v>
      </c>
      <c r="B1942" t="s">
        <v>70</v>
      </c>
      <c r="C1942" t="s">
        <v>21</v>
      </c>
      <c r="D1942">
        <v>707</v>
      </c>
      <c r="E1942">
        <v>37265</v>
      </c>
    </row>
    <row r="1943" spans="1:5" x14ac:dyDescent="0.35">
      <c r="A1943" s="2">
        <v>44835</v>
      </c>
      <c r="B1943" t="s">
        <v>82</v>
      </c>
      <c r="C1943" t="s">
        <v>21</v>
      </c>
      <c r="D1943">
        <v>9455</v>
      </c>
      <c r="E1943">
        <v>133585</v>
      </c>
    </row>
    <row r="1944" spans="1:5" x14ac:dyDescent="0.35">
      <c r="A1944" s="2">
        <v>44835</v>
      </c>
      <c r="B1944" t="s">
        <v>83</v>
      </c>
      <c r="C1944" t="s">
        <v>21</v>
      </c>
      <c r="D1944">
        <v>5530</v>
      </c>
      <c r="E1944">
        <v>111507</v>
      </c>
    </row>
    <row r="1945" spans="1:5" x14ac:dyDescent="0.35">
      <c r="A1945" s="2">
        <v>44835</v>
      </c>
      <c r="B1945" t="s">
        <v>64</v>
      </c>
      <c r="C1945" t="s">
        <v>21</v>
      </c>
      <c r="D1945">
        <v>13</v>
      </c>
      <c r="E1945">
        <v>3431</v>
      </c>
    </row>
    <row r="1946" spans="1:5" x14ac:dyDescent="0.35">
      <c r="A1946" s="2">
        <v>44835</v>
      </c>
      <c r="B1946" t="s">
        <v>84</v>
      </c>
      <c r="C1946" t="s">
        <v>21</v>
      </c>
      <c r="D1946">
        <v>3003</v>
      </c>
      <c r="E1946">
        <v>258110</v>
      </c>
    </row>
    <row r="1947" spans="1:5" x14ac:dyDescent="0.35">
      <c r="A1947" s="2">
        <v>44835</v>
      </c>
      <c r="B1947" t="s">
        <v>71</v>
      </c>
      <c r="C1947" t="s">
        <v>21</v>
      </c>
      <c r="D1947">
        <v>797</v>
      </c>
      <c r="E1947">
        <v>19532</v>
      </c>
    </row>
    <row r="1948" spans="1:5" x14ac:dyDescent="0.35">
      <c r="A1948" s="2">
        <v>44835</v>
      </c>
      <c r="B1948" t="s">
        <v>85</v>
      </c>
      <c r="C1948" t="s">
        <v>21</v>
      </c>
      <c r="D1948">
        <v>538</v>
      </c>
      <c r="E1948">
        <v>50676</v>
      </c>
    </row>
    <row r="1949" spans="1:5" x14ac:dyDescent="0.35">
      <c r="A1949" s="2">
        <v>44866</v>
      </c>
      <c r="B1949" t="s">
        <v>52</v>
      </c>
      <c r="C1949" t="s">
        <v>21</v>
      </c>
      <c r="D1949">
        <v>6</v>
      </c>
      <c r="E1949">
        <v>405</v>
      </c>
    </row>
    <row r="1950" spans="1:5" x14ac:dyDescent="0.35">
      <c r="A1950" s="2">
        <v>44866</v>
      </c>
      <c r="B1950" t="s">
        <v>76</v>
      </c>
      <c r="C1950" t="s">
        <v>21</v>
      </c>
      <c r="D1950">
        <v>2742</v>
      </c>
      <c r="E1950">
        <v>69695</v>
      </c>
    </row>
    <row r="1951" spans="1:5" x14ac:dyDescent="0.35">
      <c r="A1951" s="2">
        <v>44866</v>
      </c>
      <c r="B1951" t="s">
        <v>54</v>
      </c>
      <c r="C1951" t="s">
        <v>21</v>
      </c>
      <c r="D1951">
        <v>176</v>
      </c>
      <c r="E1951">
        <v>32542</v>
      </c>
    </row>
    <row r="1952" spans="1:5" x14ac:dyDescent="0.35">
      <c r="A1952" s="2">
        <v>44866</v>
      </c>
      <c r="B1952" t="s">
        <v>65</v>
      </c>
      <c r="C1952" t="s">
        <v>21</v>
      </c>
      <c r="D1952">
        <v>1253</v>
      </c>
      <c r="E1952">
        <v>110759</v>
      </c>
    </row>
    <row r="1953" spans="1:5" x14ac:dyDescent="0.35">
      <c r="A1953" s="2">
        <v>44866</v>
      </c>
      <c r="B1953" t="s">
        <v>66</v>
      </c>
      <c r="C1953" t="s">
        <v>21</v>
      </c>
      <c r="D1953">
        <v>163</v>
      </c>
      <c r="E1953">
        <v>1727</v>
      </c>
    </row>
    <row r="1954" spans="1:5" x14ac:dyDescent="0.35">
      <c r="A1954" s="2">
        <v>44866</v>
      </c>
      <c r="B1954" t="s">
        <v>55</v>
      </c>
      <c r="C1954" t="s">
        <v>21</v>
      </c>
      <c r="D1954">
        <v>2725</v>
      </c>
      <c r="E1954">
        <v>42575</v>
      </c>
    </row>
    <row r="1955" spans="1:5" x14ac:dyDescent="0.35">
      <c r="A1955" s="2">
        <v>44866</v>
      </c>
      <c r="B1955" t="s">
        <v>56</v>
      </c>
      <c r="C1955" t="s">
        <v>21</v>
      </c>
      <c r="D1955">
        <v>14</v>
      </c>
      <c r="E1955">
        <v>1290</v>
      </c>
    </row>
    <row r="1956" spans="1:5" x14ac:dyDescent="0.35">
      <c r="A1956" s="2">
        <v>44866</v>
      </c>
      <c r="B1956" t="s">
        <v>67</v>
      </c>
      <c r="C1956" t="s">
        <v>21</v>
      </c>
      <c r="D1956">
        <v>3869</v>
      </c>
      <c r="E1956">
        <v>41689</v>
      </c>
    </row>
    <row r="1957" spans="1:5" x14ac:dyDescent="0.35">
      <c r="A1957" s="2">
        <v>44866</v>
      </c>
      <c r="B1957" t="s">
        <v>77</v>
      </c>
      <c r="C1957" t="s">
        <v>21</v>
      </c>
      <c r="D1957">
        <v>587</v>
      </c>
      <c r="E1957">
        <v>5285</v>
      </c>
    </row>
    <row r="1958" spans="1:5" x14ac:dyDescent="0.35">
      <c r="A1958" s="2">
        <v>44866</v>
      </c>
      <c r="B1958" t="s">
        <v>78</v>
      </c>
      <c r="C1958" t="s">
        <v>21</v>
      </c>
      <c r="D1958">
        <v>8322</v>
      </c>
      <c r="E1958">
        <v>165828</v>
      </c>
    </row>
    <row r="1959" spans="1:5" x14ac:dyDescent="0.35">
      <c r="A1959" s="2">
        <v>44866</v>
      </c>
      <c r="B1959" t="s">
        <v>74</v>
      </c>
      <c r="C1959" t="s">
        <v>21</v>
      </c>
      <c r="D1959">
        <v>1369</v>
      </c>
      <c r="E1959">
        <v>58469</v>
      </c>
    </row>
    <row r="1960" spans="1:5" x14ac:dyDescent="0.35">
      <c r="A1960" s="2">
        <v>44866</v>
      </c>
      <c r="B1960" t="s">
        <v>72</v>
      </c>
      <c r="C1960" t="s">
        <v>21</v>
      </c>
      <c r="D1960">
        <v>134</v>
      </c>
      <c r="E1960">
        <v>9181</v>
      </c>
    </row>
    <row r="1961" spans="1:5" x14ac:dyDescent="0.35">
      <c r="A1961" s="2">
        <v>44866</v>
      </c>
      <c r="B1961" t="s">
        <v>57</v>
      </c>
      <c r="C1961" t="s">
        <v>21</v>
      </c>
      <c r="D1961">
        <v>194</v>
      </c>
      <c r="E1961">
        <v>4656</v>
      </c>
    </row>
    <row r="1962" spans="1:5" x14ac:dyDescent="0.35">
      <c r="A1962" s="2">
        <v>44866</v>
      </c>
      <c r="B1962" t="s">
        <v>75</v>
      </c>
      <c r="C1962" t="s">
        <v>21</v>
      </c>
      <c r="D1962">
        <v>953</v>
      </c>
      <c r="E1962">
        <v>40248</v>
      </c>
    </row>
    <row r="1963" spans="1:5" x14ac:dyDescent="0.35">
      <c r="A1963" s="2">
        <v>44866</v>
      </c>
      <c r="B1963" t="s">
        <v>79</v>
      </c>
      <c r="C1963" t="s">
        <v>21</v>
      </c>
      <c r="D1963">
        <v>9851</v>
      </c>
      <c r="E1963">
        <v>109695</v>
      </c>
    </row>
    <row r="1964" spans="1:5" x14ac:dyDescent="0.35">
      <c r="A1964" s="2">
        <v>44866</v>
      </c>
      <c r="B1964" t="s">
        <v>80</v>
      </c>
      <c r="C1964" t="s">
        <v>21</v>
      </c>
      <c r="D1964">
        <v>3698</v>
      </c>
      <c r="E1964">
        <v>40561</v>
      </c>
    </row>
    <row r="1965" spans="1:5" x14ac:dyDescent="0.35">
      <c r="A1965" s="2">
        <v>44866</v>
      </c>
      <c r="B1965" t="s">
        <v>68</v>
      </c>
      <c r="C1965" t="s">
        <v>21</v>
      </c>
      <c r="D1965">
        <v>3426</v>
      </c>
      <c r="E1965">
        <v>130285</v>
      </c>
    </row>
    <row r="1966" spans="1:5" x14ac:dyDescent="0.35">
      <c r="A1966" s="2">
        <v>44866</v>
      </c>
      <c r="B1966" t="s">
        <v>81</v>
      </c>
      <c r="C1966" t="s">
        <v>21</v>
      </c>
      <c r="D1966">
        <v>13718</v>
      </c>
      <c r="E1966">
        <v>204988</v>
      </c>
    </row>
    <row r="1967" spans="1:5" x14ac:dyDescent="0.35">
      <c r="A1967" s="2">
        <v>44866</v>
      </c>
      <c r="B1967" t="s">
        <v>59</v>
      </c>
      <c r="C1967" t="s">
        <v>21</v>
      </c>
      <c r="D1967">
        <v>2</v>
      </c>
      <c r="E1967">
        <v>5529</v>
      </c>
    </row>
    <row r="1968" spans="1:5" x14ac:dyDescent="0.35">
      <c r="A1968" s="2">
        <v>44866</v>
      </c>
      <c r="B1968" t="s">
        <v>60</v>
      </c>
      <c r="C1968" t="s">
        <v>21</v>
      </c>
      <c r="D1968">
        <v>3</v>
      </c>
      <c r="E1968">
        <v>1438</v>
      </c>
    </row>
    <row r="1969" spans="1:5" x14ac:dyDescent="0.35">
      <c r="A1969" s="2">
        <v>44866</v>
      </c>
      <c r="B1969" t="s">
        <v>61</v>
      </c>
      <c r="C1969" t="s">
        <v>21</v>
      </c>
      <c r="D1969">
        <v>8</v>
      </c>
      <c r="E1969">
        <v>1542</v>
      </c>
    </row>
    <row r="1970" spans="1:5" x14ac:dyDescent="0.35">
      <c r="A1970" s="2">
        <v>44866</v>
      </c>
      <c r="B1970" t="s">
        <v>69</v>
      </c>
      <c r="C1970" t="s">
        <v>21</v>
      </c>
      <c r="D1970">
        <v>2997</v>
      </c>
      <c r="E1970">
        <v>38593</v>
      </c>
    </row>
    <row r="1971" spans="1:5" x14ac:dyDescent="0.35">
      <c r="A1971" s="2">
        <v>44866</v>
      </c>
      <c r="B1971" t="s">
        <v>63</v>
      </c>
      <c r="C1971" t="s">
        <v>21</v>
      </c>
      <c r="D1971">
        <v>153</v>
      </c>
      <c r="E1971">
        <v>3002</v>
      </c>
    </row>
    <row r="1972" spans="1:5" x14ac:dyDescent="0.35">
      <c r="A1972" s="2">
        <v>44866</v>
      </c>
      <c r="B1972" t="s">
        <v>70</v>
      </c>
      <c r="C1972" t="s">
        <v>21</v>
      </c>
      <c r="D1972">
        <v>1042</v>
      </c>
      <c r="E1972">
        <v>46873</v>
      </c>
    </row>
    <row r="1973" spans="1:5" x14ac:dyDescent="0.35">
      <c r="A1973" s="2">
        <v>44866</v>
      </c>
      <c r="B1973" t="s">
        <v>82</v>
      </c>
      <c r="C1973" t="s">
        <v>21</v>
      </c>
      <c r="D1973">
        <v>7306</v>
      </c>
      <c r="E1973">
        <v>158463</v>
      </c>
    </row>
    <row r="1974" spans="1:5" x14ac:dyDescent="0.35">
      <c r="A1974" s="2">
        <v>44866</v>
      </c>
      <c r="B1974" t="s">
        <v>83</v>
      </c>
      <c r="C1974" t="s">
        <v>21</v>
      </c>
      <c r="D1974">
        <v>7258</v>
      </c>
      <c r="E1974">
        <v>120109</v>
      </c>
    </row>
    <row r="1975" spans="1:5" x14ac:dyDescent="0.35">
      <c r="A1975" s="2">
        <v>44866</v>
      </c>
      <c r="B1975" t="s">
        <v>64</v>
      </c>
      <c r="C1975" t="s">
        <v>21</v>
      </c>
      <c r="D1975">
        <v>12</v>
      </c>
      <c r="E1975">
        <v>3427</v>
      </c>
    </row>
    <row r="1976" spans="1:5" x14ac:dyDescent="0.35">
      <c r="A1976" s="2">
        <v>44866</v>
      </c>
      <c r="B1976" t="s">
        <v>84</v>
      </c>
      <c r="C1976" t="s">
        <v>21</v>
      </c>
      <c r="D1976">
        <v>2746</v>
      </c>
      <c r="E1976">
        <v>279169</v>
      </c>
    </row>
    <row r="1977" spans="1:5" x14ac:dyDescent="0.35">
      <c r="A1977" s="2">
        <v>44866</v>
      </c>
      <c r="B1977" t="s">
        <v>71</v>
      </c>
      <c r="C1977" t="s">
        <v>21</v>
      </c>
      <c r="D1977">
        <v>839</v>
      </c>
      <c r="E1977">
        <v>25037</v>
      </c>
    </row>
    <row r="1978" spans="1:5" x14ac:dyDescent="0.35">
      <c r="A1978" s="2">
        <v>44866</v>
      </c>
      <c r="B1978" t="s">
        <v>85</v>
      </c>
      <c r="C1978" t="s">
        <v>21</v>
      </c>
      <c r="D1978">
        <v>1209</v>
      </c>
      <c r="E1978">
        <v>100516</v>
      </c>
    </row>
    <row r="1979" spans="1:5" x14ac:dyDescent="0.35">
      <c r="A1979" s="2">
        <v>44896</v>
      </c>
      <c r="B1979" t="s">
        <v>52</v>
      </c>
      <c r="C1979" t="s">
        <v>21</v>
      </c>
      <c r="D1979">
        <v>10</v>
      </c>
      <c r="E1979">
        <v>397</v>
      </c>
    </row>
    <row r="1980" spans="1:5" x14ac:dyDescent="0.35">
      <c r="A1980" s="2">
        <v>44896</v>
      </c>
      <c r="B1980" t="s">
        <v>76</v>
      </c>
      <c r="C1980" t="s">
        <v>21</v>
      </c>
      <c r="D1980">
        <v>2718</v>
      </c>
      <c r="E1980">
        <v>47327</v>
      </c>
    </row>
    <row r="1981" spans="1:5" x14ac:dyDescent="0.35">
      <c r="A1981" s="2">
        <v>44896</v>
      </c>
      <c r="B1981" t="s">
        <v>54</v>
      </c>
      <c r="C1981" t="s">
        <v>21</v>
      </c>
      <c r="D1981">
        <v>250</v>
      </c>
      <c r="E1981">
        <v>34737</v>
      </c>
    </row>
    <row r="1982" spans="1:5" x14ac:dyDescent="0.35">
      <c r="A1982" s="2">
        <v>44896</v>
      </c>
      <c r="B1982" t="s">
        <v>65</v>
      </c>
      <c r="C1982" t="s">
        <v>21</v>
      </c>
      <c r="D1982">
        <v>987</v>
      </c>
      <c r="E1982">
        <v>60432</v>
      </c>
    </row>
    <row r="1983" spans="1:5" x14ac:dyDescent="0.35">
      <c r="A1983" s="2">
        <v>44896</v>
      </c>
      <c r="B1983" t="s">
        <v>66</v>
      </c>
      <c r="C1983" t="s">
        <v>21</v>
      </c>
      <c r="D1983">
        <v>123</v>
      </c>
      <c r="E1983">
        <v>1454</v>
      </c>
    </row>
    <row r="1984" spans="1:5" x14ac:dyDescent="0.35">
      <c r="A1984" s="2">
        <v>44896</v>
      </c>
      <c r="B1984" t="s">
        <v>55</v>
      </c>
      <c r="C1984" t="s">
        <v>21</v>
      </c>
      <c r="D1984">
        <v>1883</v>
      </c>
      <c r="E1984">
        <v>26359</v>
      </c>
    </row>
    <row r="1985" spans="1:5" x14ac:dyDescent="0.35">
      <c r="A1985" s="2">
        <v>44896</v>
      </c>
      <c r="B1985" t="s">
        <v>56</v>
      </c>
      <c r="C1985" t="s">
        <v>21</v>
      </c>
      <c r="D1985">
        <v>19</v>
      </c>
      <c r="E1985">
        <v>1112</v>
      </c>
    </row>
    <row r="1986" spans="1:5" x14ac:dyDescent="0.35">
      <c r="A1986" s="2">
        <v>44896</v>
      </c>
      <c r="B1986" t="s">
        <v>67</v>
      </c>
      <c r="C1986" t="s">
        <v>21</v>
      </c>
      <c r="D1986">
        <v>3826</v>
      </c>
      <c r="E1986">
        <v>21773</v>
      </c>
    </row>
    <row r="1987" spans="1:5" x14ac:dyDescent="0.35">
      <c r="A1987" s="2">
        <v>44896</v>
      </c>
      <c r="B1987" t="s">
        <v>77</v>
      </c>
      <c r="C1987" t="s">
        <v>21</v>
      </c>
      <c r="D1987">
        <v>528</v>
      </c>
      <c r="E1987">
        <v>4983</v>
      </c>
    </row>
    <row r="1988" spans="1:5" x14ac:dyDescent="0.35">
      <c r="A1988" s="2">
        <v>44896</v>
      </c>
      <c r="B1988" t="s">
        <v>78</v>
      </c>
      <c r="C1988" t="s">
        <v>21</v>
      </c>
      <c r="D1988">
        <v>7906</v>
      </c>
      <c r="E1988">
        <v>107138</v>
      </c>
    </row>
    <row r="1989" spans="1:5" x14ac:dyDescent="0.35">
      <c r="A1989" s="2">
        <v>44896</v>
      </c>
      <c r="B1989" t="s">
        <v>74</v>
      </c>
      <c r="C1989" t="s">
        <v>21</v>
      </c>
      <c r="D1989">
        <v>885</v>
      </c>
      <c r="E1989">
        <v>37571</v>
      </c>
    </row>
    <row r="1990" spans="1:5" x14ac:dyDescent="0.35">
      <c r="A1990" s="2">
        <v>44896</v>
      </c>
      <c r="B1990" t="s">
        <v>72</v>
      </c>
      <c r="C1990" t="s">
        <v>21</v>
      </c>
      <c r="D1990">
        <v>100</v>
      </c>
      <c r="E1990">
        <v>6751</v>
      </c>
    </row>
    <row r="1991" spans="1:5" x14ac:dyDescent="0.35">
      <c r="A1991" s="2">
        <v>44896</v>
      </c>
      <c r="B1991" t="s">
        <v>57</v>
      </c>
      <c r="C1991" t="s">
        <v>21</v>
      </c>
      <c r="D1991">
        <v>150</v>
      </c>
      <c r="E1991">
        <v>3943</v>
      </c>
    </row>
    <row r="1992" spans="1:5" x14ac:dyDescent="0.35">
      <c r="A1992" s="2">
        <v>44896</v>
      </c>
      <c r="B1992" t="s">
        <v>75</v>
      </c>
      <c r="C1992" t="s">
        <v>21</v>
      </c>
      <c r="D1992">
        <v>653</v>
      </c>
      <c r="E1992">
        <v>27130</v>
      </c>
    </row>
    <row r="1993" spans="1:5" x14ac:dyDescent="0.35">
      <c r="A1993" s="2">
        <v>44896</v>
      </c>
      <c r="B1993" t="s">
        <v>79</v>
      </c>
      <c r="C1993" t="s">
        <v>21</v>
      </c>
      <c r="D1993">
        <v>7750</v>
      </c>
      <c r="E1993">
        <v>75110</v>
      </c>
    </row>
    <row r="1994" spans="1:5" x14ac:dyDescent="0.35">
      <c r="A1994" s="2">
        <v>44896</v>
      </c>
      <c r="B1994" t="s">
        <v>80</v>
      </c>
      <c r="C1994" t="s">
        <v>21</v>
      </c>
      <c r="D1994">
        <v>4112</v>
      </c>
      <c r="E1994">
        <v>40445</v>
      </c>
    </row>
    <row r="1995" spans="1:5" x14ac:dyDescent="0.35">
      <c r="A1995" s="2">
        <v>44896</v>
      </c>
      <c r="B1995" t="s">
        <v>68</v>
      </c>
      <c r="C1995" t="s">
        <v>21</v>
      </c>
      <c r="D1995">
        <v>2328</v>
      </c>
      <c r="E1995">
        <v>64980</v>
      </c>
    </row>
    <row r="1996" spans="1:5" x14ac:dyDescent="0.35">
      <c r="A1996" s="2">
        <v>44896</v>
      </c>
      <c r="B1996" t="s">
        <v>81</v>
      </c>
      <c r="C1996" t="s">
        <v>21</v>
      </c>
      <c r="D1996">
        <v>13076</v>
      </c>
      <c r="E1996">
        <v>136534</v>
      </c>
    </row>
    <row r="1997" spans="1:5" x14ac:dyDescent="0.35">
      <c r="A1997" s="2">
        <v>44896</v>
      </c>
      <c r="B1997" t="s">
        <v>59</v>
      </c>
      <c r="C1997" t="s">
        <v>21</v>
      </c>
      <c r="D1997">
        <v>63</v>
      </c>
      <c r="E1997">
        <v>4150</v>
      </c>
    </row>
    <row r="1998" spans="1:5" x14ac:dyDescent="0.35">
      <c r="A1998" s="2">
        <v>44896</v>
      </c>
      <c r="B1998" t="s">
        <v>61</v>
      </c>
      <c r="C1998" t="s">
        <v>21</v>
      </c>
      <c r="D1998">
        <v>11</v>
      </c>
      <c r="E1998">
        <v>1792</v>
      </c>
    </row>
    <row r="1999" spans="1:5" x14ac:dyDescent="0.35">
      <c r="A1999" s="2">
        <v>44896</v>
      </c>
      <c r="B1999" t="s">
        <v>69</v>
      </c>
      <c r="C1999" t="s">
        <v>21</v>
      </c>
      <c r="D1999">
        <v>2379</v>
      </c>
      <c r="E1999">
        <v>38217</v>
      </c>
    </row>
    <row r="2000" spans="1:5" x14ac:dyDescent="0.35">
      <c r="A2000" s="2">
        <v>44896</v>
      </c>
      <c r="B2000" t="s">
        <v>63</v>
      </c>
      <c r="C2000" t="s">
        <v>21</v>
      </c>
      <c r="D2000">
        <v>177</v>
      </c>
      <c r="E2000">
        <v>2396</v>
      </c>
    </row>
    <row r="2001" spans="1:5" x14ac:dyDescent="0.35">
      <c r="A2001" s="2">
        <v>44896</v>
      </c>
      <c r="B2001" t="s">
        <v>70</v>
      </c>
      <c r="C2001" t="s">
        <v>21</v>
      </c>
      <c r="D2001">
        <v>635</v>
      </c>
      <c r="E2001">
        <v>35992</v>
      </c>
    </row>
    <row r="2002" spans="1:5" x14ac:dyDescent="0.35">
      <c r="A2002" s="2">
        <v>44896</v>
      </c>
      <c r="B2002" t="s">
        <v>82</v>
      </c>
      <c r="C2002" t="s">
        <v>21</v>
      </c>
      <c r="D2002">
        <v>5060</v>
      </c>
      <c r="E2002">
        <v>57108</v>
      </c>
    </row>
    <row r="2003" spans="1:5" x14ac:dyDescent="0.35">
      <c r="A2003" s="2">
        <v>44896</v>
      </c>
      <c r="B2003" t="s">
        <v>83</v>
      </c>
      <c r="C2003" t="s">
        <v>21</v>
      </c>
      <c r="D2003">
        <v>4991</v>
      </c>
      <c r="E2003">
        <v>77848</v>
      </c>
    </row>
    <row r="2004" spans="1:5" x14ac:dyDescent="0.35">
      <c r="A2004" s="2">
        <v>44896</v>
      </c>
      <c r="B2004" t="s">
        <v>64</v>
      </c>
      <c r="C2004" t="s">
        <v>21</v>
      </c>
      <c r="D2004">
        <v>57</v>
      </c>
      <c r="E2004">
        <v>3393</v>
      </c>
    </row>
    <row r="2005" spans="1:5" x14ac:dyDescent="0.35">
      <c r="A2005" s="2">
        <v>44896</v>
      </c>
      <c r="B2005" t="s">
        <v>84</v>
      </c>
      <c r="C2005" t="s">
        <v>21</v>
      </c>
      <c r="D2005">
        <v>2334</v>
      </c>
      <c r="E2005">
        <v>134747</v>
      </c>
    </row>
    <row r="2006" spans="1:5" x14ac:dyDescent="0.35">
      <c r="A2006" s="2">
        <v>44896</v>
      </c>
      <c r="B2006" t="s">
        <v>71</v>
      </c>
      <c r="C2006" t="s">
        <v>21</v>
      </c>
      <c r="D2006">
        <v>581</v>
      </c>
      <c r="E2006">
        <v>10627</v>
      </c>
    </row>
    <row r="2007" spans="1:5" x14ac:dyDescent="0.35">
      <c r="A2007" s="2">
        <v>44896</v>
      </c>
      <c r="B2007" t="s">
        <v>85</v>
      </c>
      <c r="C2007" t="s">
        <v>21</v>
      </c>
      <c r="D2007">
        <v>1047</v>
      </c>
      <c r="E2007">
        <v>69018</v>
      </c>
    </row>
    <row r="2008" spans="1:5" x14ac:dyDescent="0.35">
      <c r="A2008" s="2">
        <v>44927</v>
      </c>
      <c r="B2008" t="s">
        <v>76</v>
      </c>
      <c r="C2008" t="s">
        <v>21</v>
      </c>
      <c r="D2008">
        <v>2680</v>
      </c>
      <c r="E2008">
        <v>49537</v>
      </c>
    </row>
    <row r="2009" spans="1:5" x14ac:dyDescent="0.35">
      <c r="A2009" s="2">
        <v>44927</v>
      </c>
      <c r="B2009" t="s">
        <v>54</v>
      </c>
      <c r="C2009" t="s">
        <v>21</v>
      </c>
      <c r="D2009">
        <v>142</v>
      </c>
      <c r="E2009">
        <v>41897</v>
      </c>
    </row>
    <row r="2010" spans="1:5" x14ac:dyDescent="0.35">
      <c r="A2010" s="2">
        <v>44927</v>
      </c>
      <c r="B2010" t="s">
        <v>65</v>
      </c>
      <c r="C2010" t="s">
        <v>21</v>
      </c>
      <c r="D2010">
        <v>987</v>
      </c>
      <c r="E2010">
        <v>63994</v>
      </c>
    </row>
    <row r="2011" spans="1:5" x14ac:dyDescent="0.35">
      <c r="A2011" s="2">
        <v>44927</v>
      </c>
      <c r="B2011" t="s">
        <v>66</v>
      </c>
      <c r="C2011" t="s">
        <v>21</v>
      </c>
      <c r="D2011">
        <v>172</v>
      </c>
      <c r="E2011">
        <v>1977</v>
      </c>
    </row>
    <row r="2012" spans="1:5" x14ac:dyDescent="0.35">
      <c r="A2012" s="2">
        <v>44927</v>
      </c>
      <c r="B2012" t="s">
        <v>55</v>
      </c>
      <c r="C2012" t="s">
        <v>21</v>
      </c>
      <c r="D2012">
        <v>1923</v>
      </c>
      <c r="E2012">
        <v>35000</v>
      </c>
    </row>
    <row r="2013" spans="1:5" x14ac:dyDescent="0.35">
      <c r="A2013" s="2">
        <v>44927</v>
      </c>
      <c r="B2013" t="s">
        <v>56</v>
      </c>
      <c r="C2013" t="s">
        <v>21</v>
      </c>
      <c r="D2013">
        <v>9</v>
      </c>
      <c r="E2013">
        <v>698</v>
      </c>
    </row>
    <row r="2014" spans="1:5" x14ac:dyDescent="0.35">
      <c r="A2014" s="2">
        <v>44927</v>
      </c>
      <c r="B2014" t="s">
        <v>67</v>
      </c>
      <c r="C2014" t="s">
        <v>21</v>
      </c>
      <c r="D2014">
        <v>3285</v>
      </c>
      <c r="E2014">
        <v>35973</v>
      </c>
    </row>
    <row r="2015" spans="1:5" x14ac:dyDescent="0.35">
      <c r="A2015" s="2">
        <v>44927</v>
      </c>
      <c r="B2015" t="s">
        <v>77</v>
      </c>
      <c r="C2015" t="s">
        <v>21</v>
      </c>
      <c r="D2015">
        <v>662</v>
      </c>
      <c r="E2015">
        <v>4457</v>
      </c>
    </row>
    <row r="2016" spans="1:5" x14ac:dyDescent="0.35">
      <c r="A2016" s="2">
        <v>44927</v>
      </c>
      <c r="B2016" t="s">
        <v>78</v>
      </c>
      <c r="C2016" t="s">
        <v>21</v>
      </c>
      <c r="D2016">
        <v>5873</v>
      </c>
      <c r="E2016">
        <v>70897</v>
      </c>
    </row>
    <row r="2017" spans="1:5" x14ac:dyDescent="0.35">
      <c r="A2017" s="2">
        <v>44927</v>
      </c>
      <c r="B2017" t="s">
        <v>74</v>
      </c>
      <c r="C2017" t="s">
        <v>21</v>
      </c>
      <c r="D2017">
        <v>706</v>
      </c>
      <c r="E2017">
        <v>29990</v>
      </c>
    </row>
    <row r="2018" spans="1:5" x14ac:dyDescent="0.35">
      <c r="A2018" s="2">
        <v>44927</v>
      </c>
      <c r="B2018" t="s">
        <v>72</v>
      </c>
      <c r="C2018" t="s">
        <v>21</v>
      </c>
      <c r="D2018">
        <v>78</v>
      </c>
      <c r="E2018">
        <v>4421</v>
      </c>
    </row>
    <row r="2019" spans="1:5" x14ac:dyDescent="0.35">
      <c r="A2019" s="2">
        <v>44927</v>
      </c>
      <c r="B2019" t="s">
        <v>57</v>
      </c>
      <c r="C2019" t="s">
        <v>21</v>
      </c>
      <c r="D2019">
        <v>115</v>
      </c>
      <c r="E2019">
        <v>3934</v>
      </c>
    </row>
    <row r="2020" spans="1:5" x14ac:dyDescent="0.35">
      <c r="A2020" s="2">
        <v>44927</v>
      </c>
      <c r="B2020" t="s">
        <v>75</v>
      </c>
      <c r="C2020" t="s">
        <v>21</v>
      </c>
      <c r="D2020">
        <v>655</v>
      </c>
      <c r="E2020">
        <v>27267</v>
      </c>
    </row>
    <row r="2021" spans="1:5" x14ac:dyDescent="0.35">
      <c r="A2021" s="2">
        <v>44927</v>
      </c>
      <c r="B2021" t="s">
        <v>79</v>
      </c>
      <c r="C2021" t="s">
        <v>21</v>
      </c>
      <c r="D2021">
        <v>9969</v>
      </c>
      <c r="E2021">
        <v>94898</v>
      </c>
    </row>
    <row r="2022" spans="1:5" x14ac:dyDescent="0.35">
      <c r="A2022" s="2">
        <v>44927</v>
      </c>
      <c r="B2022" t="s">
        <v>80</v>
      </c>
      <c r="C2022" t="s">
        <v>21</v>
      </c>
      <c r="D2022">
        <v>4667</v>
      </c>
      <c r="E2022">
        <v>43110</v>
      </c>
    </row>
    <row r="2023" spans="1:5" x14ac:dyDescent="0.35">
      <c r="A2023" s="2">
        <v>44927</v>
      </c>
      <c r="B2023" t="s">
        <v>68</v>
      </c>
      <c r="C2023" t="s">
        <v>21</v>
      </c>
      <c r="D2023">
        <v>2443</v>
      </c>
      <c r="E2023">
        <v>80312</v>
      </c>
    </row>
    <row r="2024" spans="1:5" x14ac:dyDescent="0.35">
      <c r="A2024" s="2">
        <v>44927</v>
      </c>
      <c r="B2024" t="s">
        <v>81</v>
      </c>
      <c r="C2024" t="s">
        <v>21</v>
      </c>
      <c r="D2024">
        <v>13802</v>
      </c>
      <c r="E2024">
        <v>148279</v>
      </c>
    </row>
    <row r="2025" spans="1:5" x14ac:dyDescent="0.35">
      <c r="A2025" s="2">
        <v>44927</v>
      </c>
      <c r="B2025" t="s">
        <v>59</v>
      </c>
      <c r="C2025" t="s">
        <v>21</v>
      </c>
      <c r="D2025">
        <v>7</v>
      </c>
      <c r="E2025">
        <v>3158</v>
      </c>
    </row>
    <row r="2026" spans="1:5" x14ac:dyDescent="0.35">
      <c r="A2026" s="2">
        <v>44927</v>
      </c>
      <c r="B2026" t="s">
        <v>60</v>
      </c>
      <c r="C2026" t="s">
        <v>21</v>
      </c>
      <c r="D2026">
        <v>4</v>
      </c>
      <c r="E2026">
        <v>1372</v>
      </c>
    </row>
    <row r="2027" spans="1:5" x14ac:dyDescent="0.35">
      <c r="A2027" s="2">
        <v>44927</v>
      </c>
      <c r="B2027" t="s">
        <v>61</v>
      </c>
      <c r="C2027" t="s">
        <v>21</v>
      </c>
      <c r="D2027">
        <v>10</v>
      </c>
      <c r="E2027">
        <v>1599</v>
      </c>
    </row>
    <row r="2028" spans="1:5" x14ac:dyDescent="0.35">
      <c r="A2028" s="2">
        <v>44927</v>
      </c>
      <c r="B2028" t="s">
        <v>69</v>
      </c>
      <c r="C2028" t="s">
        <v>21</v>
      </c>
      <c r="D2028">
        <v>2533</v>
      </c>
      <c r="E2028">
        <v>47973</v>
      </c>
    </row>
    <row r="2029" spans="1:5" x14ac:dyDescent="0.35">
      <c r="A2029" s="2">
        <v>44927</v>
      </c>
      <c r="B2029" t="s">
        <v>63</v>
      </c>
      <c r="C2029" t="s">
        <v>21</v>
      </c>
      <c r="D2029">
        <v>197</v>
      </c>
      <c r="E2029">
        <v>4395</v>
      </c>
    </row>
    <row r="2030" spans="1:5" x14ac:dyDescent="0.35">
      <c r="A2030" s="2">
        <v>44927</v>
      </c>
      <c r="B2030" t="s">
        <v>70</v>
      </c>
      <c r="C2030" t="s">
        <v>21</v>
      </c>
      <c r="D2030">
        <v>590</v>
      </c>
      <c r="E2030">
        <v>33117</v>
      </c>
    </row>
    <row r="2031" spans="1:5" x14ac:dyDescent="0.35">
      <c r="A2031" s="2">
        <v>44927</v>
      </c>
      <c r="B2031" t="s">
        <v>82</v>
      </c>
      <c r="C2031" t="s">
        <v>21</v>
      </c>
      <c r="D2031">
        <v>4624</v>
      </c>
      <c r="E2031">
        <v>62966</v>
      </c>
    </row>
    <row r="2032" spans="1:5" x14ac:dyDescent="0.35">
      <c r="A2032" s="2">
        <v>44927</v>
      </c>
      <c r="B2032" t="s">
        <v>83</v>
      </c>
      <c r="C2032" t="s">
        <v>21</v>
      </c>
      <c r="D2032">
        <v>5505</v>
      </c>
      <c r="E2032">
        <v>135769</v>
      </c>
    </row>
    <row r="2033" spans="1:5" x14ac:dyDescent="0.35">
      <c r="A2033" s="2">
        <v>44927</v>
      </c>
      <c r="B2033" t="s">
        <v>64</v>
      </c>
      <c r="C2033" t="s">
        <v>21</v>
      </c>
      <c r="D2033">
        <v>8</v>
      </c>
      <c r="E2033">
        <v>2766</v>
      </c>
    </row>
    <row r="2034" spans="1:5" x14ac:dyDescent="0.35">
      <c r="A2034" s="2">
        <v>44927</v>
      </c>
      <c r="B2034" t="s">
        <v>84</v>
      </c>
      <c r="C2034" t="s">
        <v>21</v>
      </c>
      <c r="D2034">
        <v>1952</v>
      </c>
      <c r="E2034">
        <v>171721</v>
      </c>
    </row>
    <row r="2035" spans="1:5" x14ac:dyDescent="0.35">
      <c r="A2035" s="2">
        <v>44927</v>
      </c>
      <c r="B2035" t="s">
        <v>71</v>
      </c>
      <c r="C2035" t="s">
        <v>21</v>
      </c>
      <c r="D2035">
        <v>447</v>
      </c>
      <c r="E2035">
        <v>12862</v>
      </c>
    </row>
    <row r="2036" spans="1:5" x14ac:dyDescent="0.35">
      <c r="A2036" s="2">
        <v>44927</v>
      </c>
      <c r="B2036" t="s">
        <v>85</v>
      </c>
      <c r="C2036" t="s">
        <v>21</v>
      </c>
      <c r="D2036">
        <v>632</v>
      </c>
      <c r="E2036">
        <v>52431</v>
      </c>
    </row>
    <row r="2037" spans="1:5" x14ac:dyDescent="0.35">
      <c r="A2037" s="2">
        <v>44958</v>
      </c>
      <c r="B2037" t="s">
        <v>76</v>
      </c>
      <c r="C2037" t="s">
        <v>21</v>
      </c>
      <c r="D2037">
        <v>2907</v>
      </c>
      <c r="E2037">
        <v>51810</v>
      </c>
    </row>
    <row r="2038" spans="1:5" x14ac:dyDescent="0.35">
      <c r="A2038" s="2">
        <v>44958</v>
      </c>
      <c r="B2038" t="s">
        <v>54</v>
      </c>
      <c r="C2038" t="s">
        <v>21</v>
      </c>
      <c r="D2038">
        <v>190</v>
      </c>
      <c r="E2038">
        <v>36795</v>
      </c>
    </row>
    <row r="2039" spans="1:5" x14ac:dyDescent="0.35">
      <c r="A2039" s="2">
        <v>44958</v>
      </c>
      <c r="B2039" t="s">
        <v>65</v>
      </c>
      <c r="C2039" t="s">
        <v>21</v>
      </c>
      <c r="D2039">
        <v>911</v>
      </c>
      <c r="E2039">
        <v>77926</v>
      </c>
    </row>
    <row r="2040" spans="1:5" x14ac:dyDescent="0.35">
      <c r="A2040" s="2">
        <v>44958</v>
      </c>
      <c r="B2040" t="s">
        <v>66</v>
      </c>
      <c r="C2040" t="s">
        <v>21</v>
      </c>
      <c r="D2040">
        <v>216</v>
      </c>
      <c r="E2040">
        <v>955</v>
      </c>
    </row>
    <row r="2041" spans="1:5" x14ac:dyDescent="0.35">
      <c r="A2041" s="2">
        <v>44958</v>
      </c>
      <c r="B2041" t="s">
        <v>55</v>
      </c>
      <c r="C2041" t="s">
        <v>21</v>
      </c>
      <c r="D2041">
        <v>1874</v>
      </c>
      <c r="E2041">
        <v>30804</v>
      </c>
    </row>
    <row r="2042" spans="1:5" x14ac:dyDescent="0.35">
      <c r="A2042" s="2">
        <v>44958</v>
      </c>
      <c r="B2042" t="s">
        <v>56</v>
      </c>
      <c r="C2042" t="s">
        <v>21</v>
      </c>
      <c r="D2042">
        <v>16</v>
      </c>
      <c r="E2042">
        <v>777</v>
      </c>
    </row>
    <row r="2043" spans="1:5" x14ac:dyDescent="0.35">
      <c r="A2043" s="2">
        <v>44958</v>
      </c>
      <c r="B2043" t="s">
        <v>67</v>
      </c>
      <c r="C2043" t="s">
        <v>21</v>
      </c>
      <c r="D2043">
        <v>2800</v>
      </c>
      <c r="E2043">
        <v>29396</v>
      </c>
    </row>
    <row r="2044" spans="1:5" x14ac:dyDescent="0.35">
      <c r="A2044" s="2">
        <v>44958</v>
      </c>
      <c r="B2044" t="s">
        <v>77</v>
      </c>
      <c r="C2044" t="s">
        <v>21</v>
      </c>
      <c r="D2044">
        <v>628</v>
      </c>
      <c r="E2044">
        <v>3919</v>
      </c>
    </row>
    <row r="2045" spans="1:5" x14ac:dyDescent="0.35">
      <c r="A2045" s="2">
        <v>44958</v>
      </c>
      <c r="B2045" t="s">
        <v>78</v>
      </c>
      <c r="C2045" t="s">
        <v>21</v>
      </c>
      <c r="D2045">
        <v>6757</v>
      </c>
      <c r="E2045">
        <v>85424</v>
      </c>
    </row>
    <row r="2046" spans="1:5" x14ac:dyDescent="0.35">
      <c r="A2046" s="2">
        <v>44958</v>
      </c>
      <c r="B2046" t="s">
        <v>74</v>
      </c>
      <c r="C2046" t="s">
        <v>21</v>
      </c>
      <c r="D2046">
        <v>702</v>
      </c>
      <c r="E2046">
        <v>31279</v>
      </c>
    </row>
    <row r="2047" spans="1:5" x14ac:dyDescent="0.35">
      <c r="A2047" s="2">
        <v>44958</v>
      </c>
      <c r="B2047" t="s">
        <v>72</v>
      </c>
      <c r="C2047" t="s">
        <v>21</v>
      </c>
      <c r="D2047">
        <v>65</v>
      </c>
      <c r="E2047">
        <v>4784</v>
      </c>
    </row>
    <row r="2048" spans="1:5" x14ac:dyDescent="0.35">
      <c r="A2048" s="2">
        <v>44958</v>
      </c>
      <c r="B2048" t="s">
        <v>57</v>
      </c>
      <c r="C2048" t="s">
        <v>21</v>
      </c>
      <c r="D2048">
        <v>147</v>
      </c>
      <c r="E2048">
        <v>4868</v>
      </c>
    </row>
    <row r="2049" spans="1:5" x14ac:dyDescent="0.35">
      <c r="A2049" s="2">
        <v>44958</v>
      </c>
      <c r="B2049" t="s">
        <v>75</v>
      </c>
      <c r="C2049" t="s">
        <v>21</v>
      </c>
      <c r="D2049">
        <v>652</v>
      </c>
      <c r="E2049">
        <v>31633</v>
      </c>
    </row>
    <row r="2050" spans="1:5" x14ac:dyDescent="0.35">
      <c r="A2050" s="2">
        <v>44958</v>
      </c>
      <c r="B2050" t="s">
        <v>79</v>
      </c>
      <c r="C2050" t="s">
        <v>21</v>
      </c>
      <c r="D2050">
        <v>10266</v>
      </c>
      <c r="E2050">
        <v>88323</v>
      </c>
    </row>
    <row r="2051" spans="1:5" x14ac:dyDescent="0.35">
      <c r="A2051" s="2">
        <v>44958</v>
      </c>
      <c r="B2051" t="s">
        <v>80</v>
      </c>
      <c r="C2051" t="s">
        <v>21</v>
      </c>
      <c r="D2051">
        <v>5558</v>
      </c>
      <c r="E2051">
        <v>39985</v>
      </c>
    </row>
    <row r="2052" spans="1:5" x14ac:dyDescent="0.35">
      <c r="A2052" s="2">
        <v>44958</v>
      </c>
      <c r="B2052" t="s">
        <v>68</v>
      </c>
      <c r="C2052" t="s">
        <v>21</v>
      </c>
      <c r="D2052">
        <v>2358</v>
      </c>
      <c r="E2052">
        <v>75150</v>
      </c>
    </row>
    <row r="2053" spans="1:5" x14ac:dyDescent="0.35">
      <c r="A2053" s="2">
        <v>44958</v>
      </c>
      <c r="B2053" t="s">
        <v>81</v>
      </c>
      <c r="C2053" t="s">
        <v>21</v>
      </c>
      <c r="D2053">
        <v>12070</v>
      </c>
      <c r="E2053">
        <v>129508</v>
      </c>
    </row>
    <row r="2054" spans="1:5" x14ac:dyDescent="0.35">
      <c r="A2054" s="2">
        <v>44958</v>
      </c>
      <c r="B2054" t="s">
        <v>59</v>
      </c>
      <c r="C2054" t="s">
        <v>21</v>
      </c>
      <c r="D2054">
        <v>14</v>
      </c>
      <c r="E2054">
        <v>2990</v>
      </c>
    </row>
    <row r="2055" spans="1:5" x14ac:dyDescent="0.35">
      <c r="A2055" s="2">
        <v>44958</v>
      </c>
      <c r="B2055" t="s">
        <v>60</v>
      </c>
      <c r="C2055" t="s">
        <v>21</v>
      </c>
      <c r="D2055">
        <v>2</v>
      </c>
      <c r="E2055">
        <v>1192</v>
      </c>
    </row>
    <row r="2056" spans="1:5" x14ac:dyDescent="0.35">
      <c r="A2056" s="2">
        <v>44958</v>
      </c>
      <c r="B2056" t="s">
        <v>61</v>
      </c>
      <c r="C2056" t="s">
        <v>21</v>
      </c>
      <c r="D2056">
        <v>9</v>
      </c>
      <c r="E2056">
        <v>1655</v>
      </c>
    </row>
    <row r="2057" spans="1:5" x14ac:dyDescent="0.35">
      <c r="A2057" s="2">
        <v>44958</v>
      </c>
      <c r="B2057" t="s">
        <v>69</v>
      </c>
      <c r="C2057" t="s">
        <v>21</v>
      </c>
      <c r="D2057">
        <v>2552</v>
      </c>
      <c r="E2057">
        <v>49375</v>
      </c>
    </row>
    <row r="2058" spans="1:5" x14ac:dyDescent="0.35">
      <c r="A2058" s="2">
        <v>44958</v>
      </c>
      <c r="B2058" t="s">
        <v>63</v>
      </c>
      <c r="C2058" t="s">
        <v>21</v>
      </c>
      <c r="D2058">
        <v>177</v>
      </c>
      <c r="E2058">
        <v>3354</v>
      </c>
    </row>
    <row r="2059" spans="1:5" x14ac:dyDescent="0.35">
      <c r="A2059" s="2">
        <v>44958</v>
      </c>
      <c r="B2059" t="s">
        <v>70</v>
      </c>
      <c r="C2059" t="s">
        <v>21</v>
      </c>
      <c r="D2059">
        <v>609</v>
      </c>
      <c r="E2059">
        <v>34555</v>
      </c>
    </row>
    <row r="2060" spans="1:5" x14ac:dyDescent="0.35">
      <c r="A2060" s="2">
        <v>44958</v>
      </c>
      <c r="B2060" t="s">
        <v>82</v>
      </c>
      <c r="C2060" t="s">
        <v>21</v>
      </c>
      <c r="D2060">
        <v>4662</v>
      </c>
      <c r="E2060">
        <v>62207</v>
      </c>
    </row>
    <row r="2061" spans="1:5" x14ac:dyDescent="0.35">
      <c r="A2061" s="2">
        <v>44958</v>
      </c>
      <c r="B2061" t="s">
        <v>83</v>
      </c>
      <c r="C2061" t="s">
        <v>21</v>
      </c>
      <c r="D2061">
        <v>6701</v>
      </c>
      <c r="E2061">
        <v>118355</v>
      </c>
    </row>
    <row r="2062" spans="1:5" x14ac:dyDescent="0.35">
      <c r="A2062" s="2">
        <v>44958</v>
      </c>
      <c r="B2062" t="s">
        <v>64</v>
      </c>
      <c r="C2062" t="s">
        <v>21</v>
      </c>
      <c r="D2062">
        <v>20</v>
      </c>
      <c r="E2062">
        <v>2860</v>
      </c>
    </row>
    <row r="2063" spans="1:5" x14ac:dyDescent="0.35">
      <c r="A2063" s="2">
        <v>44958</v>
      </c>
      <c r="B2063" t="s">
        <v>84</v>
      </c>
      <c r="C2063" t="s">
        <v>21</v>
      </c>
      <c r="D2063">
        <v>1968</v>
      </c>
      <c r="E2063">
        <v>190812</v>
      </c>
    </row>
    <row r="2064" spans="1:5" x14ac:dyDescent="0.35">
      <c r="A2064" s="2">
        <v>44958</v>
      </c>
      <c r="B2064" t="s">
        <v>71</v>
      </c>
      <c r="C2064" t="s">
        <v>21</v>
      </c>
      <c r="D2064">
        <v>426</v>
      </c>
      <c r="E2064">
        <v>11079</v>
      </c>
    </row>
    <row r="2065" spans="1:5" x14ac:dyDescent="0.35">
      <c r="A2065" s="2">
        <v>44958</v>
      </c>
      <c r="B2065" t="s">
        <v>85</v>
      </c>
      <c r="C2065" t="s">
        <v>21</v>
      </c>
      <c r="D2065">
        <v>814</v>
      </c>
      <c r="E2065">
        <v>67188</v>
      </c>
    </row>
    <row r="2066" spans="1:5" x14ac:dyDescent="0.35">
      <c r="A2066" s="2">
        <v>44986</v>
      </c>
      <c r="B2066" t="s">
        <v>76</v>
      </c>
      <c r="C2066" t="s">
        <v>21</v>
      </c>
      <c r="D2066">
        <v>3515</v>
      </c>
      <c r="E2066">
        <v>54298</v>
      </c>
    </row>
    <row r="2067" spans="1:5" x14ac:dyDescent="0.35">
      <c r="A2067" s="2">
        <v>44986</v>
      </c>
      <c r="B2067" t="s">
        <v>54</v>
      </c>
      <c r="C2067" t="s">
        <v>21</v>
      </c>
      <c r="D2067">
        <v>221</v>
      </c>
      <c r="E2067">
        <v>41575</v>
      </c>
    </row>
    <row r="2068" spans="1:5" x14ac:dyDescent="0.35">
      <c r="A2068" s="2">
        <v>44986</v>
      </c>
      <c r="B2068" t="s">
        <v>65</v>
      </c>
      <c r="C2068" t="s">
        <v>21</v>
      </c>
      <c r="D2068">
        <v>1302</v>
      </c>
      <c r="E2068">
        <v>92334</v>
      </c>
    </row>
    <row r="2069" spans="1:5" x14ac:dyDescent="0.35">
      <c r="A2069" s="2">
        <v>44986</v>
      </c>
      <c r="B2069" t="s">
        <v>66</v>
      </c>
      <c r="C2069" t="s">
        <v>21</v>
      </c>
      <c r="D2069">
        <v>362</v>
      </c>
      <c r="E2069">
        <v>663</v>
      </c>
    </row>
    <row r="2070" spans="1:5" x14ac:dyDescent="0.35">
      <c r="A2070" s="2">
        <v>44986</v>
      </c>
      <c r="B2070" t="s">
        <v>55</v>
      </c>
      <c r="C2070" t="s">
        <v>21</v>
      </c>
      <c r="D2070">
        <v>2188</v>
      </c>
      <c r="E2070">
        <v>33362</v>
      </c>
    </row>
    <row r="2071" spans="1:5" x14ac:dyDescent="0.35">
      <c r="A2071" s="2">
        <v>44986</v>
      </c>
      <c r="B2071" t="s">
        <v>56</v>
      </c>
      <c r="C2071" t="s">
        <v>21</v>
      </c>
      <c r="D2071">
        <v>5</v>
      </c>
      <c r="E2071">
        <v>902</v>
      </c>
    </row>
    <row r="2072" spans="1:5" x14ac:dyDescent="0.35">
      <c r="A2072" s="2">
        <v>44986</v>
      </c>
      <c r="B2072" t="s">
        <v>67</v>
      </c>
      <c r="C2072" t="s">
        <v>21</v>
      </c>
      <c r="D2072">
        <v>3782</v>
      </c>
      <c r="E2072">
        <v>30396</v>
      </c>
    </row>
    <row r="2073" spans="1:5" x14ac:dyDescent="0.35">
      <c r="A2073" s="2">
        <v>44986</v>
      </c>
      <c r="B2073" t="s">
        <v>77</v>
      </c>
      <c r="C2073" t="s">
        <v>21</v>
      </c>
      <c r="D2073">
        <v>837</v>
      </c>
      <c r="E2073">
        <v>5064</v>
      </c>
    </row>
    <row r="2074" spans="1:5" x14ac:dyDescent="0.35">
      <c r="A2074" s="2">
        <v>44986</v>
      </c>
      <c r="B2074" t="s">
        <v>78</v>
      </c>
      <c r="C2074" t="s">
        <v>21</v>
      </c>
      <c r="D2074">
        <v>7790</v>
      </c>
      <c r="E2074">
        <v>92417</v>
      </c>
    </row>
    <row r="2075" spans="1:5" x14ac:dyDescent="0.35">
      <c r="A2075" s="2">
        <v>44986</v>
      </c>
      <c r="B2075" t="s">
        <v>74</v>
      </c>
      <c r="C2075" t="s">
        <v>21</v>
      </c>
      <c r="D2075">
        <v>714</v>
      </c>
      <c r="E2075">
        <v>33171</v>
      </c>
    </row>
    <row r="2076" spans="1:5" x14ac:dyDescent="0.35">
      <c r="A2076" s="2">
        <v>44986</v>
      </c>
      <c r="B2076" t="s">
        <v>72</v>
      </c>
      <c r="C2076" t="s">
        <v>21</v>
      </c>
      <c r="D2076">
        <v>91</v>
      </c>
      <c r="E2076">
        <v>4543</v>
      </c>
    </row>
    <row r="2077" spans="1:5" x14ac:dyDescent="0.35">
      <c r="A2077" s="2">
        <v>44986</v>
      </c>
      <c r="B2077" t="s">
        <v>57</v>
      </c>
      <c r="C2077" t="s">
        <v>21</v>
      </c>
      <c r="D2077">
        <v>198</v>
      </c>
      <c r="E2077">
        <v>7789</v>
      </c>
    </row>
    <row r="2078" spans="1:5" x14ac:dyDescent="0.35">
      <c r="A2078" s="2">
        <v>44986</v>
      </c>
      <c r="B2078" t="s">
        <v>75</v>
      </c>
      <c r="C2078" t="s">
        <v>21</v>
      </c>
      <c r="D2078">
        <v>797</v>
      </c>
      <c r="E2078">
        <v>39001</v>
      </c>
    </row>
    <row r="2079" spans="1:5" x14ac:dyDescent="0.35">
      <c r="A2079" s="2">
        <v>44986</v>
      </c>
      <c r="B2079" t="s">
        <v>79</v>
      </c>
      <c r="C2079" t="s">
        <v>21</v>
      </c>
      <c r="D2079">
        <v>13056</v>
      </c>
      <c r="E2079">
        <v>104953</v>
      </c>
    </row>
    <row r="2080" spans="1:5" x14ac:dyDescent="0.35">
      <c r="A2080" s="2">
        <v>44986</v>
      </c>
      <c r="B2080" t="s">
        <v>80</v>
      </c>
      <c r="C2080" t="s">
        <v>21</v>
      </c>
      <c r="D2080">
        <v>6773</v>
      </c>
      <c r="E2080">
        <v>50705</v>
      </c>
    </row>
    <row r="2081" spans="1:5" x14ac:dyDescent="0.35">
      <c r="A2081" s="2">
        <v>44986</v>
      </c>
      <c r="B2081" t="s">
        <v>68</v>
      </c>
      <c r="C2081" t="s">
        <v>21</v>
      </c>
      <c r="D2081">
        <v>3213</v>
      </c>
      <c r="E2081">
        <v>100653</v>
      </c>
    </row>
    <row r="2082" spans="1:5" x14ac:dyDescent="0.35">
      <c r="A2082" s="2">
        <v>44986</v>
      </c>
      <c r="B2082" t="s">
        <v>81</v>
      </c>
      <c r="C2082" t="s">
        <v>21</v>
      </c>
      <c r="D2082">
        <v>17077</v>
      </c>
      <c r="E2082">
        <v>154632</v>
      </c>
    </row>
    <row r="2083" spans="1:5" x14ac:dyDescent="0.35">
      <c r="A2083" s="2">
        <v>44986</v>
      </c>
      <c r="B2083" t="s">
        <v>59</v>
      </c>
      <c r="C2083" t="s">
        <v>21</v>
      </c>
      <c r="D2083">
        <v>3</v>
      </c>
      <c r="E2083">
        <v>3985</v>
      </c>
    </row>
    <row r="2084" spans="1:5" x14ac:dyDescent="0.35">
      <c r="A2084" s="2">
        <v>44986</v>
      </c>
      <c r="B2084" t="s">
        <v>61</v>
      </c>
      <c r="C2084" t="s">
        <v>21</v>
      </c>
      <c r="D2084">
        <v>10</v>
      </c>
      <c r="E2084">
        <v>1615</v>
      </c>
    </row>
    <row r="2085" spans="1:5" x14ac:dyDescent="0.35">
      <c r="A2085" s="2">
        <v>44986</v>
      </c>
      <c r="B2085" t="s">
        <v>69</v>
      </c>
      <c r="C2085" t="s">
        <v>21</v>
      </c>
      <c r="D2085">
        <v>3269</v>
      </c>
      <c r="E2085">
        <v>52642</v>
      </c>
    </row>
    <row r="2086" spans="1:5" x14ac:dyDescent="0.35">
      <c r="A2086" s="2">
        <v>44986</v>
      </c>
      <c r="B2086" t="s">
        <v>63</v>
      </c>
      <c r="C2086" t="s">
        <v>21</v>
      </c>
      <c r="D2086">
        <v>261</v>
      </c>
      <c r="E2086">
        <v>3608</v>
      </c>
    </row>
    <row r="2087" spans="1:5" x14ac:dyDescent="0.35">
      <c r="A2087" s="2">
        <v>44986</v>
      </c>
      <c r="B2087" t="s">
        <v>70</v>
      </c>
      <c r="C2087" t="s">
        <v>21</v>
      </c>
      <c r="D2087">
        <v>805</v>
      </c>
      <c r="E2087">
        <v>36806</v>
      </c>
    </row>
    <row r="2088" spans="1:5" x14ac:dyDescent="0.35">
      <c r="A2088" s="2">
        <v>44986</v>
      </c>
      <c r="B2088" t="s">
        <v>82</v>
      </c>
      <c r="C2088" t="s">
        <v>21</v>
      </c>
      <c r="D2088">
        <v>6375</v>
      </c>
      <c r="E2088">
        <v>85324</v>
      </c>
    </row>
    <row r="2089" spans="1:5" x14ac:dyDescent="0.35">
      <c r="A2089" s="2">
        <v>44986</v>
      </c>
      <c r="B2089" t="s">
        <v>83</v>
      </c>
      <c r="C2089" t="s">
        <v>21</v>
      </c>
      <c r="D2089">
        <v>8388</v>
      </c>
      <c r="E2089">
        <v>119376</v>
      </c>
    </row>
    <row r="2090" spans="1:5" x14ac:dyDescent="0.35">
      <c r="A2090" s="2">
        <v>44986</v>
      </c>
      <c r="B2090" t="s">
        <v>64</v>
      </c>
      <c r="C2090" t="s">
        <v>21</v>
      </c>
      <c r="D2090">
        <v>23</v>
      </c>
      <c r="E2090">
        <v>3016</v>
      </c>
    </row>
    <row r="2091" spans="1:5" x14ac:dyDescent="0.35">
      <c r="A2091" s="2">
        <v>44986</v>
      </c>
      <c r="B2091" t="s">
        <v>84</v>
      </c>
      <c r="C2091" t="s">
        <v>21</v>
      </c>
      <c r="D2091">
        <v>3559</v>
      </c>
      <c r="E2091">
        <v>206315</v>
      </c>
    </row>
    <row r="2092" spans="1:5" x14ac:dyDescent="0.35">
      <c r="A2092" s="2">
        <v>44986</v>
      </c>
      <c r="B2092" t="s">
        <v>71</v>
      </c>
      <c r="C2092" t="s">
        <v>21</v>
      </c>
      <c r="D2092">
        <v>587</v>
      </c>
      <c r="E2092">
        <v>13077</v>
      </c>
    </row>
    <row r="2093" spans="1:5" x14ac:dyDescent="0.35">
      <c r="A2093" s="2">
        <v>44986</v>
      </c>
      <c r="B2093" t="s">
        <v>85</v>
      </c>
      <c r="C2093" t="s">
        <v>21</v>
      </c>
      <c r="D2093">
        <v>1103</v>
      </c>
      <c r="E2093">
        <v>73690</v>
      </c>
    </row>
    <row r="2094" spans="1:5" x14ac:dyDescent="0.35">
      <c r="A2094" s="2">
        <v>45017</v>
      </c>
      <c r="B2094" t="s">
        <v>76</v>
      </c>
      <c r="C2094" t="s">
        <v>21</v>
      </c>
      <c r="D2094">
        <v>3515</v>
      </c>
      <c r="E2094">
        <v>48046</v>
      </c>
    </row>
    <row r="2095" spans="1:5" x14ac:dyDescent="0.35">
      <c r="A2095" s="2">
        <v>45017</v>
      </c>
      <c r="B2095" t="s">
        <v>54</v>
      </c>
      <c r="C2095" t="s">
        <v>21</v>
      </c>
      <c r="D2095">
        <v>178</v>
      </c>
      <c r="E2095">
        <v>35047</v>
      </c>
    </row>
    <row r="2096" spans="1:5" x14ac:dyDescent="0.35">
      <c r="A2096" s="2">
        <v>45017</v>
      </c>
      <c r="B2096" t="s">
        <v>65</v>
      </c>
      <c r="C2096" t="s">
        <v>21</v>
      </c>
      <c r="D2096">
        <v>971</v>
      </c>
      <c r="E2096">
        <v>84319</v>
      </c>
    </row>
    <row r="2097" spans="1:5" x14ac:dyDescent="0.35">
      <c r="A2097" s="2">
        <v>45017</v>
      </c>
      <c r="B2097" t="s">
        <v>66</v>
      </c>
      <c r="C2097" t="s">
        <v>21</v>
      </c>
      <c r="D2097">
        <v>126</v>
      </c>
      <c r="E2097">
        <v>2085</v>
      </c>
    </row>
    <row r="2098" spans="1:5" x14ac:dyDescent="0.35">
      <c r="A2098" s="2">
        <v>45017</v>
      </c>
      <c r="B2098" t="s">
        <v>55</v>
      </c>
      <c r="C2098" t="s">
        <v>21</v>
      </c>
      <c r="D2098">
        <v>1559</v>
      </c>
      <c r="E2098">
        <v>27613</v>
      </c>
    </row>
    <row r="2099" spans="1:5" x14ac:dyDescent="0.35">
      <c r="A2099" s="2">
        <v>45017</v>
      </c>
      <c r="B2099" t="s">
        <v>56</v>
      </c>
      <c r="C2099" t="s">
        <v>21</v>
      </c>
      <c r="D2099">
        <v>5</v>
      </c>
      <c r="E2099">
        <v>666</v>
      </c>
    </row>
    <row r="2100" spans="1:5" x14ac:dyDescent="0.35">
      <c r="A2100" s="2">
        <v>45017</v>
      </c>
      <c r="B2100" t="s">
        <v>67</v>
      </c>
      <c r="C2100" t="s">
        <v>21</v>
      </c>
      <c r="D2100">
        <v>2738</v>
      </c>
      <c r="E2100">
        <v>28590</v>
      </c>
    </row>
    <row r="2101" spans="1:5" x14ac:dyDescent="0.35">
      <c r="A2101" s="2">
        <v>45017</v>
      </c>
      <c r="B2101" t="s">
        <v>77</v>
      </c>
      <c r="C2101" t="s">
        <v>21</v>
      </c>
      <c r="D2101">
        <v>698</v>
      </c>
      <c r="E2101">
        <v>3609</v>
      </c>
    </row>
    <row r="2102" spans="1:5" x14ac:dyDescent="0.35">
      <c r="A2102" s="2">
        <v>45017</v>
      </c>
      <c r="B2102" t="s">
        <v>78</v>
      </c>
      <c r="C2102" t="s">
        <v>21</v>
      </c>
      <c r="D2102">
        <v>8266</v>
      </c>
      <c r="E2102">
        <v>89782</v>
      </c>
    </row>
    <row r="2103" spans="1:5" x14ac:dyDescent="0.35">
      <c r="A2103" s="2">
        <v>45017</v>
      </c>
      <c r="B2103" t="s">
        <v>74</v>
      </c>
      <c r="C2103" t="s">
        <v>21</v>
      </c>
      <c r="D2103">
        <v>802</v>
      </c>
      <c r="E2103">
        <v>34168</v>
      </c>
    </row>
    <row r="2104" spans="1:5" x14ac:dyDescent="0.35">
      <c r="A2104" s="2">
        <v>45017</v>
      </c>
      <c r="B2104" t="s">
        <v>72</v>
      </c>
      <c r="C2104" t="s">
        <v>21</v>
      </c>
      <c r="D2104">
        <v>96</v>
      </c>
      <c r="E2104">
        <v>4847</v>
      </c>
    </row>
    <row r="2105" spans="1:5" x14ac:dyDescent="0.35">
      <c r="A2105" s="2">
        <v>45017</v>
      </c>
      <c r="B2105" t="s">
        <v>57</v>
      </c>
      <c r="C2105" t="s">
        <v>21</v>
      </c>
      <c r="D2105">
        <v>212</v>
      </c>
      <c r="E2105">
        <v>6299</v>
      </c>
    </row>
    <row r="2106" spans="1:5" x14ac:dyDescent="0.35">
      <c r="A2106" s="2">
        <v>45017</v>
      </c>
      <c r="B2106" t="s">
        <v>75</v>
      </c>
      <c r="C2106" t="s">
        <v>21</v>
      </c>
      <c r="D2106">
        <v>682</v>
      </c>
      <c r="E2106">
        <v>36353</v>
      </c>
    </row>
    <row r="2107" spans="1:5" x14ac:dyDescent="0.35">
      <c r="A2107" s="2">
        <v>45017</v>
      </c>
      <c r="B2107" t="s">
        <v>79</v>
      </c>
      <c r="C2107" t="s">
        <v>21</v>
      </c>
      <c r="D2107">
        <v>9711</v>
      </c>
      <c r="E2107">
        <v>91491</v>
      </c>
    </row>
    <row r="2108" spans="1:5" x14ac:dyDescent="0.35">
      <c r="A2108" s="2">
        <v>45017</v>
      </c>
      <c r="B2108" t="s">
        <v>80</v>
      </c>
      <c r="C2108" t="s">
        <v>21</v>
      </c>
      <c r="D2108">
        <v>4659</v>
      </c>
      <c r="E2108">
        <v>32903</v>
      </c>
    </row>
    <row r="2109" spans="1:5" x14ac:dyDescent="0.35">
      <c r="A2109" s="2">
        <v>45017</v>
      </c>
      <c r="B2109" t="s">
        <v>68</v>
      </c>
      <c r="C2109" t="s">
        <v>21</v>
      </c>
      <c r="D2109">
        <v>1958</v>
      </c>
      <c r="E2109">
        <v>64877</v>
      </c>
    </row>
    <row r="2110" spans="1:5" x14ac:dyDescent="0.35">
      <c r="A2110" s="2">
        <v>45017</v>
      </c>
      <c r="B2110" t="s">
        <v>81</v>
      </c>
      <c r="C2110" t="s">
        <v>21</v>
      </c>
      <c r="D2110">
        <v>12260</v>
      </c>
      <c r="E2110">
        <v>130977</v>
      </c>
    </row>
    <row r="2111" spans="1:5" x14ac:dyDescent="0.35">
      <c r="A2111" s="2">
        <v>45017</v>
      </c>
      <c r="B2111" t="s">
        <v>59</v>
      </c>
      <c r="C2111" t="s">
        <v>21</v>
      </c>
      <c r="D2111">
        <v>15</v>
      </c>
      <c r="E2111">
        <v>3425</v>
      </c>
    </row>
    <row r="2112" spans="1:5" x14ac:dyDescent="0.35">
      <c r="A2112" s="2">
        <v>45017</v>
      </c>
      <c r="B2112" t="s">
        <v>60</v>
      </c>
      <c r="C2112" t="s">
        <v>21</v>
      </c>
      <c r="D2112">
        <v>3</v>
      </c>
      <c r="E2112">
        <v>1501</v>
      </c>
    </row>
    <row r="2113" spans="1:5" x14ac:dyDescent="0.35">
      <c r="A2113" s="2">
        <v>45017</v>
      </c>
      <c r="B2113" t="s">
        <v>61</v>
      </c>
      <c r="C2113" t="s">
        <v>21</v>
      </c>
      <c r="D2113">
        <v>8</v>
      </c>
      <c r="E2113">
        <v>1565</v>
      </c>
    </row>
    <row r="2114" spans="1:5" x14ac:dyDescent="0.35">
      <c r="A2114" s="2">
        <v>45017</v>
      </c>
      <c r="B2114" t="s">
        <v>69</v>
      </c>
      <c r="C2114" t="s">
        <v>21</v>
      </c>
      <c r="D2114">
        <v>2848</v>
      </c>
      <c r="E2114">
        <v>43956</v>
      </c>
    </row>
    <row r="2115" spans="1:5" x14ac:dyDescent="0.35">
      <c r="A2115" s="2">
        <v>45017</v>
      </c>
      <c r="B2115" t="s">
        <v>63</v>
      </c>
      <c r="C2115" t="s">
        <v>21</v>
      </c>
      <c r="D2115">
        <v>157</v>
      </c>
      <c r="E2115">
        <v>3076</v>
      </c>
    </row>
    <row r="2116" spans="1:5" x14ac:dyDescent="0.35">
      <c r="A2116" s="2">
        <v>45017</v>
      </c>
      <c r="B2116" t="s">
        <v>70</v>
      </c>
      <c r="C2116" t="s">
        <v>21</v>
      </c>
      <c r="D2116">
        <v>376</v>
      </c>
      <c r="E2116">
        <v>28269</v>
      </c>
    </row>
    <row r="2117" spans="1:5" x14ac:dyDescent="0.35">
      <c r="A2117" s="2">
        <v>45017</v>
      </c>
      <c r="B2117" t="s">
        <v>82</v>
      </c>
      <c r="C2117" t="s">
        <v>21</v>
      </c>
      <c r="D2117">
        <v>3914</v>
      </c>
      <c r="E2117">
        <v>67999</v>
      </c>
    </row>
    <row r="2118" spans="1:5" x14ac:dyDescent="0.35">
      <c r="A2118" s="2">
        <v>45017</v>
      </c>
      <c r="B2118" t="s">
        <v>83</v>
      </c>
      <c r="C2118" t="s">
        <v>21</v>
      </c>
      <c r="D2118">
        <v>6509</v>
      </c>
      <c r="E2118">
        <v>94801</v>
      </c>
    </row>
    <row r="2119" spans="1:5" x14ac:dyDescent="0.35">
      <c r="A2119" s="2">
        <v>45017</v>
      </c>
      <c r="B2119" t="s">
        <v>64</v>
      </c>
      <c r="C2119" t="s">
        <v>21</v>
      </c>
      <c r="D2119">
        <v>19</v>
      </c>
      <c r="E2119">
        <v>2450</v>
      </c>
    </row>
    <row r="2120" spans="1:5" x14ac:dyDescent="0.35">
      <c r="A2120" s="2">
        <v>45017</v>
      </c>
      <c r="B2120" t="s">
        <v>84</v>
      </c>
      <c r="C2120" t="s">
        <v>21</v>
      </c>
      <c r="D2120">
        <v>3087</v>
      </c>
      <c r="E2120">
        <v>195568</v>
      </c>
    </row>
    <row r="2121" spans="1:5" x14ac:dyDescent="0.35">
      <c r="A2121" s="2">
        <v>45017</v>
      </c>
      <c r="B2121" t="s">
        <v>71</v>
      </c>
      <c r="C2121" t="s">
        <v>21</v>
      </c>
      <c r="D2121">
        <v>524</v>
      </c>
      <c r="E2121">
        <v>12580</v>
      </c>
    </row>
    <row r="2122" spans="1:5" x14ac:dyDescent="0.35">
      <c r="A2122" s="2">
        <v>45017</v>
      </c>
      <c r="B2122" t="s">
        <v>85</v>
      </c>
      <c r="C2122" t="s">
        <v>21</v>
      </c>
      <c r="D2122">
        <v>918</v>
      </c>
      <c r="E2122">
        <v>54194</v>
      </c>
    </row>
    <row r="2123" spans="1:5" x14ac:dyDescent="0.35">
      <c r="A2123" s="2">
        <v>45047</v>
      </c>
      <c r="B2123" t="s">
        <v>76</v>
      </c>
      <c r="C2123" t="s">
        <v>21</v>
      </c>
      <c r="D2123">
        <v>4370</v>
      </c>
      <c r="E2123">
        <v>54545</v>
      </c>
    </row>
    <row r="2124" spans="1:5" x14ac:dyDescent="0.35">
      <c r="A2124" s="2">
        <v>45047</v>
      </c>
      <c r="B2124" t="s">
        <v>54</v>
      </c>
      <c r="C2124" t="s">
        <v>21</v>
      </c>
      <c r="D2124">
        <v>282</v>
      </c>
      <c r="E2124">
        <v>35939</v>
      </c>
    </row>
    <row r="2125" spans="1:5" x14ac:dyDescent="0.35">
      <c r="A2125" s="2">
        <v>45047</v>
      </c>
      <c r="B2125" t="s">
        <v>65</v>
      </c>
      <c r="C2125" t="s">
        <v>21</v>
      </c>
      <c r="D2125">
        <v>1536</v>
      </c>
      <c r="E2125">
        <v>125465</v>
      </c>
    </row>
    <row r="2126" spans="1:5" x14ac:dyDescent="0.35">
      <c r="A2126" s="2">
        <v>45047</v>
      </c>
      <c r="B2126" t="s">
        <v>66</v>
      </c>
      <c r="C2126" t="s">
        <v>21</v>
      </c>
      <c r="D2126">
        <v>209</v>
      </c>
      <c r="E2126">
        <v>2356</v>
      </c>
    </row>
    <row r="2127" spans="1:5" x14ac:dyDescent="0.35">
      <c r="A2127" s="2">
        <v>45047</v>
      </c>
      <c r="B2127" t="s">
        <v>55</v>
      </c>
      <c r="C2127" t="s">
        <v>21</v>
      </c>
      <c r="D2127">
        <v>2514</v>
      </c>
      <c r="E2127">
        <v>29232</v>
      </c>
    </row>
    <row r="2128" spans="1:5" x14ac:dyDescent="0.35">
      <c r="A2128" s="2">
        <v>45047</v>
      </c>
      <c r="B2128" t="s">
        <v>56</v>
      </c>
      <c r="C2128" t="s">
        <v>21</v>
      </c>
      <c r="D2128">
        <v>4</v>
      </c>
      <c r="E2128">
        <v>829</v>
      </c>
    </row>
    <row r="2129" spans="1:5" x14ac:dyDescent="0.35">
      <c r="A2129" s="2">
        <v>45047</v>
      </c>
      <c r="B2129" t="s">
        <v>67</v>
      </c>
      <c r="C2129" t="s">
        <v>21</v>
      </c>
      <c r="D2129">
        <v>4977</v>
      </c>
      <c r="E2129">
        <v>32282</v>
      </c>
    </row>
    <row r="2130" spans="1:5" x14ac:dyDescent="0.35">
      <c r="A2130" s="2">
        <v>45047</v>
      </c>
      <c r="B2130" t="s">
        <v>77</v>
      </c>
      <c r="C2130" t="s">
        <v>21</v>
      </c>
      <c r="D2130">
        <v>863</v>
      </c>
      <c r="E2130">
        <v>3933</v>
      </c>
    </row>
    <row r="2131" spans="1:5" x14ac:dyDescent="0.35">
      <c r="A2131" s="2">
        <v>45047</v>
      </c>
      <c r="B2131" t="s">
        <v>78</v>
      </c>
      <c r="C2131" t="s">
        <v>21</v>
      </c>
      <c r="D2131">
        <v>9609</v>
      </c>
      <c r="E2131">
        <v>87169</v>
      </c>
    </row>
    <row r="2132" spans="1:5" x14ac:dyDescent="0.35">
      <c r="A2132" s="2">
        <v>45047</v>
      </c>
      <c r="B2132" t="s">
        <v>74</v>
      </c>
      <c r="C2132" t="s">
        <v>21</v>
      </c>
      <c r="D2132">
        <v>1053</v>
      </c>
      <c r="E2132">
        <v>34399</v>
      </c>
    </row>
    <row r="2133" spans="1:5" x14ac:dyDescent="0.35">
      <c r="A2133" s="2">
        <v>45047</v>
      </c>
      <c r="B2133" t="s">
        <v>72</v>
      </c>
      <c r="C2133" t="s">
        <v>21</v>
      </c>
      <c r="D2133">
        <v>118</v>
      </c>
      <c r="E2133">
        <v>5278</v>
      </c>
    </row>
    <row r="2134" spans="1:5" x14ac:dyDescent="0.35">
      <c r="A2134" s="2">
        <v>45047</v>
      </c>
      <c r="B2134" t="s">
        <v>57</v>
      </c>
      <c r="C2134" t="s">
        <v>21</v>
      </c>
      <c r="D2134">
        <v>258</v>
      </c>
      <c r="E2134">
        <v>9084</v>
      </c>
    </row>
    <row r="2135" spans="1:5" x14ac:dyDescent="0.35">
      <c r="A2135" s="2">
        <v>45047</v>
      </c>
      <c r="B2135" t="s">
        <v>75</v>
      </c>
      <c r="C2135" t="s">
        <v>21</v>
      </c>
      <c r="D2135">
        <v>839</v>
      </c>
      <c r="E2135">
        <v>41796</v>
      </c>
    </row>
    <row r="2136" spans="1:5" x14ac:dyDescent="0.35">
      <c r="A2136" s="2">
        <v>45047</v>
      </c>
      <c r="B2136" t="s">
        <v>79</v>
      </c>
      <c r="C2136" t="s">
        <v>21</v>
      </c>
      <c r="D2136">
        <v>17292</v>
      </c>
      <c r="E2136">
        <v>97074</v>
      </c>
    </row>
    <row r="2137" spans="1:5" x14ac:dyDescent="0.35">
      <c r="A2137" s="2">
        <v>45047</v>
      </c>
      <c r="B2137" t="s">
        <v>80</v>
      </c>
      <c r="C2137" t="s">
        <v>21</v>
      </c>
      <c r="D2137">
        <v>7386</v>
      </c>
      <c r="E2137">
        <v>41347</v>
      </c>
    </row>
    <row r="2138" spans="1:5" x14ac:dyDescent="0.35">
      <c r="A2138" s="2">
        <v>45047</v>
      </c>
      <c r="B2138" t="s">
        <v>58</v>
      </c>
      <c r="C2138" t="s">
        <v>21</v>
      </c>
      <c r="D2138">
        <v>14</v>
      </c>
      <c r="E2138">
        <v>161</v>
      </c>
    </row>
    <row r="2139" spans="1:5" x14ac:dyDescent="0.35">
      <c r="A2139" s="2">
        <v>45047</v>
      </c>
      <c r="B2139" t="s">
        <v>68</v>
      </c>
      <c r="C2139" t="s">
        <v>21</v>
      </c>
      <c r="D2139">
        <v>3940</v>
      </c>
      <c r="E2139">
        <v>97067</v>
      </c>
    </row>
    <row r="2140" spans="1:5" x14ac:dyDescent="0.35">
      <c r="A2140" s="2">
        <v>45047</v>
      </c>
      <c r="B2140" t="s">
        <v>81</v>
      </c>
      <c r="C2140" t="s">
        <v>21</v>
      </c>
      <c r="D2140">
        <v>20585</v>
      </c>
      <c r="E2140">
        <v>126680</v>
      </c>
    </row>
    <row r="2141" spans="1:5" x14ac:dyDescent="0.35">
      <c r="A2141" s="2">
        <v>45047</v>
      </c>
      <c r="B2141" t="s">
        <v>59</v>
      </c>
      <c r="C2141" t="s">
        <v>21</v>
      </c>
      <c r="D2141">
        <v>10</v>
      </c>
      <c r="E2141">
        <v>572</v>
      </c>
    </row>
    <row r="2142" spans="1:5" x14ac:dyDescent="0.35">
      <c r="A2142" s="2">
        <v>45047</v>
      </c>
      <c r="B2142" t="s">
        <v>60</v>
      </c>
      <c r="C2142" t="s">
        <v>21</v>
      </c>
      <c r="D2142">
        <v>7</v>
      </c>
      <c r="E2142">
        <v>2006</v>
      </c>
    </row>
    <row r="2143" spans="1:5" x14ac:dyDescent="0.35">
      <c r="A2143" s="2">
        <v>45047</v>
      </c>
      <c r="B2143" t="s">
        <v>61</v>
      </c>
      <c r="C2143" t="s">
        <v>21</v>
      </c>
      <c r="D2143">
        <v>14</v>
      </c>
      <c r="E2143">
        <v>1626</v>
      </c>
    </row>
    <row r="2144" spans="1:5" x14ac:dyDescent="0.35">
      <c r="A2144" s="2">
        <v>45047</v>
      </c>
      <c r="B2144" t="s">
        <v>69</v>
      </c>
      <c r="C2144" t="s">
        <v>21</v>
      </c>
      <c r="D2144">
        <v>3727</v>
      </c>
      <c r="E2144">
        <v>44563</v>
      </c>
    </row>
    <row r="2145" spans="1:5" x14ac:dyDescent="0.35">
      <c r="A2145" s="2">
        <v>45047</v>
      </c>
      <c r="B2145" t="s">
        <v>63</v>
      </c>
      <c r="C2145" t="s">
        <v>21</v>
      </c>
      <c r="D2145">
        <v>382</v>
      </c>
      <c r="E2145">
        <v>3736</v>
      </c>
    </row>
    <row r="2146" spans="1:5" x14ac:dyDescent="0.35">
      <c r="A2146" s="2">
        <v>45047</v>
      </c>
      <c r="B2146" t="s">
        <v>70</v>
      </c>
      <c r="C2146" t="s">
        <v>21</v>
      </c>
      <c r="D2146">
        <v>1181</v>
      </c>
      <c r="E2146">
        <v>32433</v>
      </c>
    </row>
    <row r="2147" spans="1:5" x14ac:dyDescent="0.35">
      <c r="A2147" s="2">
        <v>45047</v>
      </c>
      <c r="B2147" t="s">
        <v>82</v>
      </c>
      <c r="C2147" t="s">
        <v>21</v>
      </c>
      <c r="D2147">
        <v>6897</v>
      </c>
      <c r="E2147">
        <v>79573</v>
      </c>
    </row>
    <row r="2148" spans="1:5" x14ac:dyDescent="0.35">
      <c r="A2148" s="2">
        <v>45047</v>
      </c>
      <c r="B2148" t="s">
        <v>83</v>
      </c>
      <c r="C2148" t="s">
        <v>21</v>
      </c>
      <c r="D2148">
        <v>10330</v>
      </c>
      <c r="E2148">
        <v>109325</v>
      </c>
    </row>
    <row r="2149" spans="1:5" x14ac:dyDescent="0.35">
      <c r="A2149" s="2">
        <v>45047</v>
      </c>
      <c r="B2149" t="s">
        <v>64</v>
      </c>
      <c r="C2149" t="s">
        <v>21</v>
      </c>
      <c r="D2149">
        <v>65</v>
      </c>
      <c r="E2149">
        <v>3305</v>
      </c>
    </row>
    <row r="2150" spans="1:5" x14ac:dyDescent="0.35">
      <c r="A2150" s="2">
        <v>45047</v>
      </c>
      <c r="B2150" t="s">
        <v>84</v>
      </c>
      <c r="C2150" t="s">
        <v>21</v>
      </c>
      <c r="D2150">
        <v>4704</v>
      </c>
      <c r="E2150">
        <v>300079</v>
      </c>
    </row>
    <row r="2151" spans="1:5" x14ac:dyDescent="0.35">
      <c r="A2151" s="2">
        <v>45047</v>
      </c>
      <c r="B2151" t="s">
        <v>71</v>
      </c>
      <c r="C2151" t="s">
        <v>21</v>
      </c>
      <c r="D2151">
        <v>682</v>
      </c>
      <c r="E2151">
        <v>14779</v>
      </c>
    </row>
    <row r="2152" spans="1:5" x14ac:dyDescent="0.35">
      <c r="A2152" s="2">
        <v>45047</v>
      </c>
      <c r="B2152" t="s">
        <v>85</v>
      </c>
      <c r="C2152" t="s">
        <v>21</v>
      </c>
      <c r="D2152">
        <v>1508</v>
      </c>
      <c r="E2152">
        <v>77494</v>
      </c>
    </row>
    <row r="2153" spans="1:5" x14ac:dyDescent="0.35">
      <c r="A2153" s="2">
        <v>45078</v>
      </c>
      <c r="B2153" t="s">
        <v>76</v>
      </c>
      <c r="C2153" t="s">
        <v>21</v>
      </c>
      <c r="D2153">
        <v>1004</v>
      </c>
      <c r="E2153">
        <v>45618</v>
      </c>
    </row>
    <row r="2154" spans="1:5" x14ac:dyDescent="0.35">
      <c r="A2154" s="2">
        <v>45078</v>
      </c>
      <c r="B2154" t="s">
        <v>54</v>
      </c>
      <c r="C2154" t="s">
        <v>21</v>
      </c>
      <c r="D2154">
        <v>177</v>
      </c>
      <c r="E2154">
        <v>31855</v>
      </c>
    </row>
    <row r="2155" spans="1:5" x14ac:dyDescent="0.35">
      <c r="A2155" s="2">
        <v>45078</v>
      </c>
      <c r="B2155" t="s">
        <v>65</v>
      </c>
      <c r="C2155" t="s">
        <v>21</v>
      </c>
      <c r="D2155">
        <v>520</v>
      </c>
      <c r="E2155">
        <v>90944</v>
      </c>
    </row>
    <row r="2156" spans="1:5" x14ac:dyDescent="0.35">
      <c r="A2156" s="2">
        <v>45078</v>
      </c>
      <c r="B2156" t="s">
        <v>66</v>
      </c>
      <c r="C2156" t="s">
        <v>21</v>
      </c>
      <c r="D2156">
        <v>135</v>
      </c>
      <c r="E2156">
        <v>2638</v>
      </c>
    </row>
    <row r="2157" spans="1:5" x14ac:dyDescent="0.35">
      <c r="A2157" s="2">
        <v>45078</v>
      </c>
      <c r="B2157" t="s">
        <v>55</v>
      </c>
      <c r="C2157" t="s">
        <v>21</v>
      </c>
      <c r="D2157">
        <v>1245</v>
      </c>
      <c r="E2157">
        <v>30378</v>
      </c>
    </row>
    <row r="2158" spans="1:5" x14ac:dyDescent="0.35">
      <c r="A2158" s="2">
        <v>45078</v>
      </c>
      <c r="B2158" t="s">
        <v>56</v>
      </c>
      <c r="C2158" t="s">
        <v>21</v>
      </c>
      <c r="D2158">
        <v>5</v>
      </c>
      <c r="E2158">
        <v>765</v>
      </c>
    </row>
    <row r="2159" spans="1:5" x14ac:dyDescent="0.35">
      <c r="A2159" s="2">
        <v>45078</v>
      </c>
      <c r="B2159" t="s">
        <v>67</v>
      </c>
      <c r="C2159" t="s">
        <v>21</v>
      </c>
      <c r="D2159">
        <v>1787</v>
      </c>
      <c r="E2159">
        <v>28279</v>
      </c>
    </row>
    <row r="2160" spans="1:5" x14ac:dyDescent="0.35">
      <c r="A2160" s="2">
        <v>45078</v>
      </c>
      <c r="B2160" t="s">
        <v>77</v>
      </c>
      <c r="C2160" t="s">
        <v>21</v>
      </c>
      <c r="D2160">
        <v>531</v>
      </c>
      <c r="E2160">
        <v>3485</v>
      </c>
    </row>
    <row r="2161" spans="1:5" x14ac:dyDescent="0.35">
      <c r="A2161" s="2">
        <v>45078</v>
      </c>
      <c r="B2161" t="s">
        <v>78</v>
      </c>
      <c r="C2161" t="s">
        <v>21</v>
      </c>
      <c r="D2161">
        <v>4019</v>
      </c>
      <c r="E2161">
        <v>80898</v>
      </c>
    </row>
    <row r="2162" spans="1:5" x14ac:dyDescent="0.35">
      <c r="A2162" s="2">
        <v>45078</v>
      </c>
      <c r="B2162" t="s">
        <v>74</v>
      </c>
      <c r="C2162" t="s">
        <v>21</v>
      </c>
      <c r="D2162">
        <v>408</v>
      </c>
      <c r="E2162">
        <v>33317</v>
      </c>
    </row>
    <row r="2163" spans="1:5" x14ac:dyDescent="0.35">
      <c r="A2163" s="2">
        <v>45078</v>
      </c>
      <c r="B2163" t="s">
        <v>72</v>
      </c>
      <c r="C2163" t="s">
        <v>21</v>
      </c>
      <c r="D2163">
        <v>59</v>
      </c>
      <c r="E2163">
        <v>5397</v>
      </c>
    </row>
    <row r="2164" spans="1:5" x14ac:dyDescent="0.35">
      <c r="A2164" s="2">
        <v>45078</v>
      </c>
      <c r="B2164" t="s">
        <v>57</v>
      </c>
      <c r="C2164" t="s">
        <v>21</v>
      </c>
      <c r="D2164">
        <v>166</v>
      </c>
      <c r="E2164">
        <v>7915</v>
      </c>
    </row>
    <row r="2165" spans="1:5" x14ac:dyDescent="0.35">
      <c r="A2165" s="2">
        <v>45078</v>
      </c>
      <c r="B2165" t="s">
        <v>75</v>
      </c>
      <c r="C2165" t="s">
        <v>21</v>
      </c>
      <c r="D2165">
        <v>390</v>
      </c>
      <c r="E2165">
        <v>36415</v>
      </c>
    </row>
    <row r="2166" spans="1:5" x14ac:dyDescent="0.35">
      <c r="A2166" s="2">
        <v>45078</v>
      </c>
      <c r="B2166" t="s">
        <v>79</v>
      </c>
      <c r="C2166" t="s">
        <v>21</v>
      </c>
      <c r="D2166">
        <v>7730</v>
      </c>
      <c r="E2166">
        <v>101825</v>
      </c>
    </row>
    <row r="2167" spans="1:5" x14ac:dyDescent="0.35">
      <c r="A2167" s="2">
        <v>45078</v>
      </c>
      <c r="B2167" t="s">
        <v>80</v>
      </c>
      <c r="C2167" t="s">
        <v>21</v>
      </c>
      <c r="D2167">
        <v>4020</v>
      </c>
      <c r="E2167">
        <v>38025</v>
      </c>
    </row>
    <row r="2168" spans="1:5" x14ac:dyDescent="0.35">
      <c r="A2168" s="2">
        <v>45078</v>
      </c>
      <c r="B2168" t="s">
        <v>58</v>
      </c>
      <c r="C2168" t="s">
        <v>21</v>
      </c>
      <c r="D2168">
        <v>2</v>
      </c>
      <c r="E2168">
        <v>208</v>
      </c>
    </row>
    <row r="2169" spans="1:5" x14ac:dyDescent="0.35">
      <c r="A2169" s="2">
        <v>45078</v>
      </c>
      <c r="B2169" t="s">
        <v>68</v>
      </c>
      <c r="C2169" t="s">
        <v>21</v>
      </c>
      <c r="D2169">
        <v>1671</v>
      </c>
      <c r="E2169">
        <v>78536</v>
      </c>
    </row>
    <row r="2170" spans="1:5" x14ac:dyDescent="0.35">
      <c r="A2170" s="2">
        <v>45078</v>
      </c>
      <c r="B2170" t="s">
        <v>81</v>
      </c>
      <c r="C2170" t="s">
        <v>21</v>
      </c>
      <c r="D2170">
        <v>8451</v>
      </c>
      <c r="E2170">
        <v>119809</v>
      </c>
    </row>
    <row r="2171" spans="1:5" x14ac:dyDescent="0.35">
      <c r="A2171" s="2">
        <v>45078</v>
      </c>
      <c r="B2171" t="s">
        <v>59</v>
      </c>
      <c r="C2171" t="s">
        <v>21</v>
      </c>
      <c r="D2171">
        <v>4</v>
      </c>
      <c r="E2171">
        <v>270</v>
      </c>
    </row>
    <row r="2172" spans="1:5" x14ac:dyDescent="0.35">
      <c r="A2172" s="2">
        <v>45078</v>
      </c>
      <c r="B2172" t="s">
        <v>61</v>
      </c>
      <c r="C2172" t="s">
        <v>21</v>
      </c>
      <c r="D2172">
        <v>4</v>
      </c>
      <c r="E2172">
        <v>1795</v>
      </c>
    </row>
    <row r="2173" spans="1:5" x14ac:dyDescent="0.35">
      <c r="A2173" s="2">
        <v>45078</v>
      </c>
      <c r="B2173" t="s">
        <v>69</v>
      </c>
      <c r="C2173" t="s">
        <v>21</v>
      </c>
      <c r="D2173">
        <v>2131</v>
      </c>
      <c r="E2173">
        <v>43202</v>
      </c>
    </row>
    <row r="2174" spans="1:5" x14ac:dyDescent="0.35">
      <c r="A2174" s="2">
        <v>45078</v>
      </c>
      <c r="B2174" t="s">
        <v>63</v>
      </c>
      <c r="C2174" t="s">
        <v>21</v>
      </c>
      <c r="D2174">
        <v>140</v>
      </c>
      <c r="E2174">
        <v>3591</v>
      </c>
    </row>
    <row r="2175" spans="1:5" x14ac:dyDescent="0.35">
      <c r="A2175" s="2">
        <v>45078</v>
      </c>
      <c r="B2175" t="s">
        <v>70</v>
      </c>
      <c r="C2175" t="s">
        <v>21</v>
      </c>
      <c r="D2175">
        <v>534</v>
      </c>
      <c r="E2175">
        <v>30214</v>
      </c>
    </row>
    <row r="2176" spans="1:5" x14ac:dyDescent="0.35">
      <c r="A2176" s="2">
        <v>45078</v>
      </c>
      <c r="B2176" t="s">
        <v>82</v>
      </c>
      <c r="C2176" t="s">
        <v>21</v>
      </c>
      <c r="D2176">
        <v>3261</v>
      </c>
      <c r="E2176">
        <v>69235</v>
      </c>
    </row>
    <row r="2177" spans="1:5" x14ac:dyDescent="0.35">
      <c r="A2177" s="2">
        <v>45078</v>
      </c>
      <c r="B2177" t="s">
        <v>83</v>
      </c>
      <c r="C2177" t="s">
        <v>21</v>
      </c>
      <c r="D2177">
        <v>4720</v>
      </c>
      <c r="E2177">
        <v>121451</v>
      </c>
    </row>
    <row r="2178" spans="1:5" x14ac:dyDescent="0.35">
      <c r="A2178" s="2">
        <v>45078</v>
      </c>
      <c r="B2178" t="s">
        <v>64</v>
      </c>
      <c r="C2178" t="s">
        <v>21</v>
      </c>
      <c r="D2178">
        <v>8</v>
      </c>
      <c r="E2178">
        <v>2709</v>
      </c>
    </row>
    <row r="2179" spans="1:5" x14ac:dyDescent="0.35">
      <c r="A2179" s="2">
        <v>45078</v>
      </c>
      <c r="B2179" t="s">
        <v>84</v>
      </c>
      <c r="C2179" t="s">
        <v>21</v>
      </c>
      <c r="D2179">
        <v>1932</v>
      </c>
      <c r="E2179">
        <v>219233</v>
      </c>
    </row>
    <row r="2180" spans="1:5" x14ac:dyDescent="0.35">
      <c r="A2180" s="2">
        <v>45078</v>
      </c>
      <c r="B2180" t="s">
        <v>71</v>
      </c>
      <c r="C2180" t="s">
        <v>21</v>
      </c>
      <c r="D2180">
        <v>324</v>
      </c>
      <c r="E2180">
        <v>13374</v>
      </c>
    </row>
    <row r="2181" spans="1:5" x14ac:dyDescent="0.35">
      <c r="A2181" s="2">
        <v>45078</v>
      </c>
      <c r="B2181" t="s">
        <v>85</v>
      </c>
      <c r="C2181" t="s">
        <v>21</v>
      </c>
      <c r="D2181">
        <v>462</v>
      </c>
      <c r="E2181">
        <v>64854</v>
      </c>
    </row>
    <row r="2182" spans="1:5" x14ac:dyDescent="0.35">
      <c r="A2182" s="2">
        <v>45108</v>
      </c>
      <c r="B2182" t="s">
        <v>76</v>
      </c>
      <c r="C2182" t="s">
        <v>21</v>
      </c>
      <c r="D2182">
        <v>1361</v>
      </c>
      <c r="E2182">
        <v>50877</v>
      </c>
    </row>
    <row r="2183" spans="1:5" x14ac:dyDescent="0.35">
      <c r="A2183" s="2">
        <v>45108</v>
      </c>
      <c r="B2183" t="s">
        <v>54</v>
      </c>
      <c r="C2183" t="s">
        <v>21</v>
      </c>
      <c r="D2183">
        <v>168</v>
      </c>
      <c r="E2183">
        <v>32074</v>
      </c>
    </row>
    <row r="2184" spans="1:5" x14ac:dyDescent="0.35">
      <c r="A2184" s="2">
        <v>45108</v>
      </c>
      <c r="B2184" t="s">
        <v>65</v>
      </c>
      <c r="C2184" t="s">
        <v>21</v>
      </c>
      <c r="D2184">
        <v>614</v>
      </c>
      <c r="E2184">
        <v>69583</v>
      </c>
    </row>
    <row r="2185" spans="1:5" x14ac:dyDescent="0.35">
      <c r="A2185" s="2">
        <v>45108</v>
      </c>
      <c r="B2185" t="s">
        <v>66</v>
      </c>
      <c r="C2185" t="s">
        <v>21</v>
      </c>
      <c r="D2185">
        <v>134</v>
      </c>
      <c r="E2185">
        <v>1813</v>
      </c>
    </row>
    <row r="2186" spans="1:5" x14ac:dyDescent="0.35">
      <c r="A2186" s="2">
        <v>45108</v>
      </c>
      <c r="B2186" t="s">
        <v>55</v>
      </c>
      <c r="C2186" t="s">
        <v>21</v>
      </c>
      <c r="D2186">
        <v>1584</v>
      </c>
      <c r="E2186">
        <v>28753</v>
      </c>
    </row>
    <row r="2187" spans="1:5" x14ac:dyDescent="0.35">
      <c r="A2187" s="2">
        <v>45108</v>
      </c>
      <c r="B2187" t="s">
        <v>56</v>
      </c>
      <c r="C2187" t="s">
        <v>21</v>
      </c>
      <c r="D2187">
        <v>5</v>
      </c>
      <c r="E2187">
        <v>856</v>
      </c>
    </row>
    <row r="2188" spans="1:5" x14ac:dyDescent="0.35">
      <c r="A2188" s="2">
        <v>45108</v>
      </c>
      <c r="B2188" t="s">
        <v>67</v>
      </c>
      <c r="C2188" t="s">
        <v>21</v>
      </c>
      <c r="D2188">
        <v>2068</v>
      </c>
      <c r="E2188">
        <v>31269</v>
      </c>
    </row>
    <row r="2189" spans="1:5" x14ac:dyDescent="0.35">
      <c r="A2189" s="2">
        <v>45108</v>
      </c>
      <c r="B2189" t="s">
        <v>77</v>
      </c>
      <c r="C2189" t="s">
        <v>21</v>
      </c>
      <c r="D2189">
        <v>517</v>
      </c>
      <c r="E2189">
        <v>2877</v>
      </c>
    </row>
    <row r="2190" spans="1:5" x14ac:dyDescent="0.35">
      <c r="A2190" s="2">
        <v>45108</v>
      </c>
      <c r="B2190" t="s">
        <v>78</v>
      </c>
      <c r="C2190" t="s">
        <v>21</v>
      </c>
      <c r="D2190">
        <v>5300</v>
      </c>
      <c r="E2190">
        <v>98394</v>
      </c>
    </row>
    <row r="2191" spans="1:5" x14ac:dyDescent="0.35">
      <c r="A2191" s="2">
        <v>45108</v>
      </c>
      <c r="B2191" t="s">
        <v>74</v>
      </c>
      <c r="C2191" t="s">
        <v>21</v>
      </c>
      <c r="D2191">
        <v>152</v>
      </c>
      <c r="E2191">
        <v>15523</v>
      </c>
    </row>
    <row r="2192" spans="1:5" x14ac:dyDescent="0.35">
      <c r="A2192" s="2">
        <v>45108</v>
      </c>
      <c r="B2192" t="s">
        <v>72</v>
      </c>
      <c r="C2192" t="s">
        <v>21</v>
      </c>
      <c r="D2192">
        <v>40</v>
      </c>
      <c r="E2192">
        <v>5450</v>
      </c>
    </row>
    <row r="2193" spans="1:5" x14ac:dyDescent="0.35">
      <c r="A2193" s="2">
        <v>45108</v>
      </c>
      <c r="B2193" t="s">
        <v>57</v>
      </c>
      <c r="C2193" t="s">
        <v>21</v>
      </c>
      <c r="D2193">
        <v>116</v>
      </c>
      <c r="E2193">
        <v>8604</v>
      </c>
    </row>
    <row r="2194" spans="1:5" x14ac:dyDescent="0.35">
      <c r="A2194" s="2">
        <v>45108</v>
      </c>
      <c r="B2194" t="s">
        <v>75</v>
      </c>
      <c r="C2194" t="s">
        <v>21</v>
      </c>
      <c r="D2194">
        <v>447</v>
      </c>
      <c r="E2194">
        <v>32370</v>
      </c>
    </row>
    <row r="2195" spans="1:5" x14ac:dyDescent="0.35">
      <c r="A2195" s="2">
        <v>45108</v>
      </c>
      <c r="B2195" t="s">
        <v>79</v>
      </c>
      <c r="C2195" t="s">
        <v>21</v>
      </c>
      <c r="D2195">
        <v>9632</v>
      </c>
      <c r="E2195">
        <v>95036</v>
      </c>
    </row>
    <row r="2196" spans="1:5" x14ac:dyDescent="0.35">
      <c r="A2196" s="2">
        <v>45108</v>
      </c>
      <c r="B2196" t="s">
        <v>80</v>
      </c>
      <c r="C2196" t="s">
        <v>21</v>
      </c>
      <c r="D2196">
        <v>3937</v>
      </c>
      <c r="E2196">
        <v>34948</v>
      </c>
    </row>
    <row r="2197" spans="1:5" x14ac:dyDescent="0.35">
      <c r="A2197" s="2">
        <v>45108</v>
      </c>
      <c r="B2197" t="s">
        <v>68</v>
      </c>
      <c r="C2197" t="s">
        <v>21</v>
      </c>
      <c r="D2197">
        <v>1971</v>
      </c>
      <c r="E2197">
        <v>69937</v>
      </c>
    </row>
    <row r="2198" spans="1:5" x14ac:dyDescent="0.35">
      <c r="A2198" s="2">
        <v>45108</v>
      </c>
      <c r="B2198" t="s">
        <v>81</v>
      </c>
      <c r="C2198" t="s">
        <v>21</v>
      </c>
      <c r="D2198">
        <v>9822</v>
      </c>
      <c r="E2198">
        <v>126943</v>
      </c>
    </row>
    <row r="2199" spans="1:5" x14ac:dyDescent="0.35">
      <c r="A2199" s="2">
        <v>45108</v>
      </c>
      <c r="B2199" t="s">
        <v>59</v>
      </c>
      <c r="C2199" t="s">
        <v>21</v>
      </c>
      <c r="D2199">
        <v>6</v>
      </c>
      <c r="E2199">
        <v>1145</v>
      </c>
    </row>
    <row r="2200" spans="1:5" x14ac:dyDescent="0.35">
      <c r="A2200" s="2">
        <v>45108</v>
      </c>
      <c r="B2200" t="s">
        <v>60</v>
      </c>
      <c r="C2200" t="s">
        <v>21</v>
      </c>
      <c r="D2200">
        <v>20</v>
      </c>
      <c r="E2200">
        <v>2030</v>
      </c>
    </row>
    <row r="2201" spans="1:5" x14ac:dyDescent="0.35">
      <c r="A2201" s="2">
        <v>45108</v>
      </c>
      <c r="B2201" t="s">
        <v>61</v>
      </c>
      <c r="C2201" t="s">
        <v>21</v>
      </c>
      <c r="D2201">
        <v>6</v>
      </c>
      <c r="E2201">
        <v>1721</v>
      </c>
    </row>
    <row r="2202" spans="1:5" x14ac:dyDescent="0.35">
      <c r="A2202" s="2">
        <v>45108</v>
      </c>
      <c r="B2202" t="s">
        <v>69</v>
      </c>
      <c r="C2202" t="s">
        <v>21</v>
      </c>
      <c r="D2202">
        <v>2805</v>
      </c>
      <c r="E2202">
        <v>38394</v>
      </c>
    </row>
    <row r="2203" spans="1:5" x14ac:dyDescent="0.35">
      <c r="A2203" s="2">
        <v>45108</v>
      </c>
      <c r="B2203" t="s">
        <v>63</v>
      </c>
      <c r="C2203" t="s">
        <v>21</v>
      </c>
      <c r="D2203">
        <v>189</v>
      </c>
      <c r="E2203">
        <v>3909</v>
      </c>
    </row>
    <row r="2204" spans="1:5" x14ac:dyDescent="0.35">
      <c r="A2204" s="2">
        <v>45108</v>
      </c>
      <c r="B2204" t="s">
        <v>70</v>
      </c>
      <c r="C2204" t="s">
        <v>21</v>
      </c>
      <c r="D2204">
        <v>445</v>
      </c>
      <c r="E2204">
        <v>33588</v>
      </c>
    </row>
    <row r="2205" spans="1:5" x14ac:dyDescent="0.35">
      <c r="A2205" s="2">
        <v>45108</v>
      </c>
      <c r="B2205" t="s">
        <v>82</v>
      </c>
      <c r="C2205" t="s">
        <v>21</v>
      </c>
      <c r="D2205">
        <v>3763</v>
      </c>
      <c r="E2205">
        <v>76511</v>
      </c>
    </row>
    <row r="2206" spans="1:5" x14ac:dyDescent="0.35">
      <c r="A2206" s="2">
        <v>45108</v>
      </c>
      <c r="B2206" t="s">
        <v>83</v>
      </c>
      <c r="C2206" t="s">
        <v>21</v>
      </c>
      <c r="D2206">
        <v>5839</v>
      </c>
      <c r="E2206">
        <v>119322</v>
      </c>
    </row>
    <row r="2207" spans="1:5" x14ac:dyDescent="0.35">
      <c r="A2207" s="2">
        <v>45108</v>
      </c>
      <c r="B2207" t="s">
        <v>64</v>
      </c>
      <c r="C2207" t="s">
        <v>21</v>
      </c>
      <c r="D2207">
        <v>6</v>
      </c>
      <c r="E2207">
        <v>2942</v>
      </c>
    </row>
    <row r="2208" spans="1:5" x14ac:dyDescent="0.35">
      <c r="A2208" s="2">
        <v>45108</v>
      </c>
      <c r="B2208" t="s">
        <v>84</v>
      </c>
      <c r="C2208" t="s">
        <v>21</v>
      </c>
      <c r="D2208">
        <v>2326</v>
      </c>
      <c r="E2208">
        <v>158970</v>
      </c>
    </row>
    <row r="2209" spans="1:5" x14ac:dyDescent="0.35">
      <c r="A2209" s="2">
        <v>45108</v>
      </c>
      <c r="B2209" t="s">
        <v>71</v>
      </c>
      <c r="C2209" t="s">
        <v>21</v>
      </c>
      <c r="D2209">
        <v>408</v>
      </c>
      <c r="E2209">
        <v>13216</v>
      </c>
    </row>
    <row r="2210" spans="1:5" x14ac:dyDescent="0.35">
      <c r="A2210" s="2">
        <v>45108</v>
      </c>
      <c r="B2210" t="s">
        <v>85</v>
      </c>
      <c r="C2210" t="s">
        <v>21</v>
      </c>
      <c r="D2210">
        <v>509</v>
      </c>
      <c r="E2210">
        <v>67367</v>
      </c>
    </row>
    <row r="2211" spans="1:5" x14ac:dyDescent="0.35">
      <c r="A2211" s="2">
        <v>45139</v>
      </c>
      <c r="B2211" t="s">
        <v>76</v>
      </c>
      <c r="C2211" t="s">
        <v>21</v>
      </c>
      <c r="D2211">
        <v>1568</v>
      </c>
      <c r="E2211">
        <v>56399</v>
      </c>
    </row>
    <row r="2212" spans="1:5" x14ac:dyDescent="0.35">
      <c r="A2212" s="2">
        <v>45139</v>
      </c>
      <c r="B2212" t="s">
        <v>54</v>
      </c>
      <c r="C2212" t="s">
        <v>21</v>
      </c>
      <c r="D2212">
        <v>147</v>
      </c>
      <c r="E2212">
        <v>31641</v>
      </c>
    </row>
    <row r="2213" spans="1:5" x14ac:dyDescent="0.35">
      <c r="A2213" s="2">
        <v>45139</v>
      </c>
      <c r="B2213" t="s">
        <v>65</v>
      </c>
      <c r="C2213" t="s">
        <v>21</v>
      </c>
      <c r="D2213">
        <v>713</v>
      </c>
      <c r="E2213">
        <v>58346</v>
      </c>
    </row>
    <row r="2214" spans="1:5" x14ac:dyDescent="0.35">
      <c r="A2214" s="2">
        <v>45139</v>
      </c>
      <c r="B2214" t="s">
        <v>66</v>
      </c>
      <c r="C2214" t="s">
        <v>21</v>
      </c>
      <c r="D2214">
        <v>125</v>
      </c>
      <c r="E2214">
        <v>1789</v>
      </c>
    </row>
    <row r="2215" spans="1:5" x14ac:dyDescent="0.35">
      <c r="A2215" s="2">
        <v>45139</v>
      </c>
      <c r="B2215" t="s">
        <v>55</v>
      </c>
      <c r="C2215" t="s">
        <v>21</v>
      </c>
      <c r="D2215">
        <v>2088</v>
      </c>
      <c r="E2215">
        <v>28699</v>
      </c>
    </row>
    <row r="2216" spans="1:5" x14ac:dyDescent="0.35">
      <c r="A2216" s="2">
        <v>45139</v>
      </c>
      <c r="B2216" t="s">
        <v>56</v>
      </c>
      <c r="C2216" t="s">
        <v>21</v>
      </c>
      <c r="D2216">
        <v>6</v>
      </c>
      <c r="E2216">
        <v>606</v>
      </c>
    </row>
    <row r="2217" spans="1:5" x14ac:dyDescent="0.35">
      <c r="A2217" s="2">
        <v>45139</v>
      </c>
      <c r="B2217" t="s">
        <v>67</v>
      </c>
      <c r="C2217" t="s">
        <v>21</v>
      </c>
      <c r="D2217">
        <v>2116</v>
      </c>
      <c r="E2217">
        <v>33120</v>
      </c>
    </row>
    <row r="2218" spans="1:5" x14ac:dyDescent="0.35">
      <c r="A2218" s="2">
        <v>45139</v>
      </c>
      <c r="B2218" t="s">
        <v>77</v>
      </c>
      <c r="C2218" t="s">
        <v>21</v>
      </c>
      <c r="D2218">
        <v>689</v>
      </c>
      <c r="E2218">
        <v>4098</v>
      </c>
    </row>
    <row r="2219" spans="1:5" x14ac:dyDescent="0.35">
      <c r="A2219" s="2">
        <v>45139</v>
      </c>
      <c r="B2219" t="s">
        <v>78</v>
      </c>
      <c r="C2219" t="s">
        <v>21</v>
      </c>
      <c r="D2219">
        <v>5755</v>
      </c>
      <c r="E2219">
        <v>87134</v>
      </c>
    </row>
    <row r="2220" spans="1:5" x14ac:dyDescent="0.35">
      <c r="A2220" s="2">
        <v>45139</v>
      </c>
      <c r="B2220" t="s">
        <v>74</v>
      </c>
      <c r="C2220" t="s">
        <v>21</v>
      </c>
      <c r="D2220">
        <v>399</v>
      </c>
      <c r="E2220">
        <v>38102</v>
      </c>
    </row>
    <row r="2221" spans="1:5" x14ac:dyDescent="0.35">
      <c r="A2221" s="2">
        <v>45139</v>
      </c>
      <c r="B2221" t="s">
        <v>72</v>
      </c>
      <c r="C2221" t="s">
        <v>21</v>
      </c>
      <c r="D2221">
        <v>64</v>
      </c>
      <c r="E2221">
        <v>5345</v>
      </c>
    </row>
    <row r="2222" spans="1:5" x14ac:dyDescent="0.35">
      <c r="A2222" s="2">
        <v>45139</v>
      </c>
      <c r="B2222" t="s">
        <v>57</v>
      </c>
      <c r="C2222" t="s">
        <v>21</v>
      </c>
      <c r="D2222">
        <v>98</v>
      </c>
      <c r="E2222">
        <v>8650</v>
      </c>
    </row>
    <row r="2223" spans="1:5" x14ac:dyDescent="0.35">
      <c r="A2223" s="2">
        <v>45139</v>
      </c>
      <c r="B2223" t="s">
        <v>75</v>
      </c>
      <c r="C2223" t="s">
        <v>21</v>
      </c>
      <c r="D2223">
        <v>455</v>
      </c>
      <c r="E2223">
        <v>27909</v>
      </c>
    </row>
    <row r="2224" spans="1:5" x14ac:dyDescent="0.35">
      <c r="A2224" s="2">
        <v>45139</v>
      </c>
      <c r="B2224" t="s">
        <v>79</v>
      </c>
      <c r="C2224" t="s">
        <v>21</v>
      </c>
      <c r="D2224">
        <v>9720</v>
      </c>
      <c r="E2224">
        <v>101545</v>
      </c>
    </row>
    <row r="2225" spans="1:5" x14ac:dyDescent="0.35">
      <c r="A2225" s="2">
        <v>45139</v>
      </c>
      <c r="B2225" t="s">
        <v>80</v>
      </c>
      <c r="C2225" t="s">
        <v>21</v>
      </c>
      <c r="D2225">
        <v>4798</v>
      </c>
      <c r="E2225">
        <v>49548</v>
      </c>
    </row>
    <row r="2226" spans="1:5" x14ac:dyDescent="0.35">
      <c r="A2226" s="2">
        <v>45139</v>
      </c>
      <c r="B2226" t="s">
        <v>68</v>
      </c>
      <c r="C2226" t="s">
        <v>21</v>
      </c>
      <c r="D2226">
        <v>3907</v>
      </c>
      <c r="E2226">
        <v>73963</v>
      </c>
    </row>
    <row r="2227" spans="1:5" x14ac:dyDescent="0.35">
      <c r="A2227" s="2">
        <v>45139</v>
      </c>
      <c r="B2227" t="s">
        <v>81</v>
      </c>
      <c r="C2227" t="s">
        <v>21</v>
      </c>
      <c r="D2227">
        <v>12043</v>
      </c>
      <c r="E2227">
        <v>133378</v>
      </c>
    </row>
    <row r="2228" spans="1:5" x14ac:dyDescent="0.35">
      <c r="A2228" s="2">
        <v>45139</v>
      </c>
      <c r="B2228" t="s">
        <v>59</v>
      </c>
      <c r="C2228" t="s">
        <v>21</v>
      </c>
      <c r="D2228">
        <v>8</v>
      </c>
      <c r="E2228">
        <v>846</v>
      </c>
    </row>
    <row r="2229" spans="1:5" x14ac:dyDescent="0.35">
      <c r="A2229" s="2">
        <v>45139</v>
      </c>
      <c r="B2229" t="s">
        <v>60</v>
      </c>
      <c r="C2229" t="s">
        <v>21</v>
      </c>
      <c r="D2229">
        <v>15</v>
      </c>
      <c r="E2229">
        <v>2060</v>
      </c>
    </row>
    <row r="2230" spans="1:5" x14ac:dyDescent="0.35">
      <c r="A2230" s="2">
        <v>45139</v>
      </c>
      <c r="B2230" t="s">
        <v>61</v>
      </c>
      <c r="C2230" t="s">
        <v>21</v>
      </c>
      <c r="D2230">
        <v>4</v>
      </c>
      <c r="E2230">
        <v>1908</v>
      </c>
    </row>
    <row r="2231" spans="1:5" x14ac:dyDescent="0.35">
      <c r="A2231" s="2">
        <v>45139</v>
      </c>
      <c r="B2231" t="s">
        <v>69</v>
      </c>
      <c r="C2231" t="s">
        <v>21</v>
      </c>
      <c r="D2231">
        <v>2737</v>
      </c>
      <c r="E2231">
        <v>36033</v>
      </c>
    </row>
    <row r="2232" spans="1:5" x14ac:dyDescent="0.35">
      <c r="A2232" s="2">
        <v>45139</v>
      </c>
      <c r="B2232" t="s">
        <v>63</v>
      </c>
      <c r="C2232" t="s">
        <v>21</v>
      </c>
      <c r="D2232">
        <v>197</v>
      </c>
      <c r="E2232">
        <v>4141</v>
      </c>
    </row>
    <row r="2233" spans="1:5" x14ac:dyDescent="0.35">
      <c r="A2233" s="2">
        <v>45139</v>
      </c>
      <c r="B2233" t="s">
        <v>70</v>
      </c>
      <c r="C2233" t="s">
        <v>21</v>
      </c>
      <c r="D2233">
        <v>642</v>
      </c>
      <c r="E2233">
        <v>34784</v>
      </c>
    </row>
    <row r="2234" spans="1:5" x14ac:dyDescent="0.35">
      <c r="A2234" s="2">
        <v>45139</v>
      </c>
      <c r="B2234" t="s">
        <v>82</v>
      </c>
      <c r="C2234" t="s">
        <v>21</v>
      </c>
      <c r="D2234">
        <v>4313</v>
      </c>
      <c r="E2234">
        <v>76171</v>
      </c>
    </row>
    <row r="2235" spans="1:5" x14ac:dyDescent="0.35">
      <c r="A2235" s="2">
        <v>45139</v>
      </c>
      <c r="B2235" t="s">
        <v>83</v>
      </c>
      <c r="C2235" t="s">
        <v>21</v>
      </c>
      <c r="D2235">
        <v>6246</v>
      </c>
      <c r="E2235">
        <v>128997</v>
      </c>
    </row>
    <row r="2236" spans="1:5" x14ac:dyDescent="0.35">
      <c r="A2236" s="2">
        <v>45139</v>
      </c>
      <c r="B2236" t="s">
        <v>64</v>
      </c>
      <c r="C2236" t="s">
        <v>21</v>
      </c>
      <c r="D2236">
        <v>33</v>
      </c>
      <c r="E2236">
        <v>3154</v>
      </c>
    </row>
    <row r="2237" spans="1:5" x14ac:dyDescent="0.35">
      <c r="A2237" s="2">
        <v>45139</v>
      </c>
      <c r="B2237" t="s">
        <v>84</v>
      </c>
      <c r="C2237" t="s">
        <v>21</v>
      </c>
      <c r="D2237">
        <v>2710</v>
      </c>
      <c r="E2237">
        <v>146984</v>
      </c>
    </row>
    <row r="2238" spans="1:5" x14ac:dyDescent="0.35">
      <c r="A2238" s="2">
        <v>45139</v>
      </c>
      <c r="B2238" t="s">
        <v>71</v>
      </c>
      <c r="C2238" t="s">
        <v>21</v>
      </c>
      <c r="D2238">
        <v>364</v>
      </c>
      <c r="E2238">
        <v>12790</v>
      </c>
    </row>
    <row r="2239" spans="1:5" x14ac:dyDescent="0.35">
      <c r="A2239" s="2">
        <v>45139</v>
      </c>
      <c r="B2239" t="s">
        <v>85</v>
      </c>
      <c r="C2239" t="s">
        <v>21</v>
      </c>
      <c r="D2239">
        <v>511</v>
      </c>
      <c r="E2239">
        <v>64154</v>
      </c>
    </row>
    <row r="2240" spans="1:5" x14ac:dyDescent="0.35">
      <c r="A2240" s="2">
        <v>45170</v>
      </c>
      <c r="B2240" t="s">
        <v>76</v>
      </c>
      <c r="C2240" t="s">
        <v>21</v>
      </c>
      <c r="D2240">
        <v>1388</v>
      </c>
      <c r="E2240">
        <v>53014</v>
      </c>
    </row>
    <row r="2241" spans="1:5" x14ac:dyDescent="0.35">
      <c r="A2241" s="2">
        <v>45170</v>
      </c>
      <c r="B2241" t="s">
        <v>54</v>
      </c>
      <c r="C2241" t="s">
        <v>21</v>
      </c>
      <c r="D2241">
        <v>257</v>
      </c>
      <c r="E2241">
        <v>32936</v>
      </c>
    </row>
    <row r="2242" spans="1:5" x14ac:dyDescent="0.35">
      <c r="A2242" s="2">
        <v>45170</v>
      </c>
      <c r="B2242" t="s">
        <v>65</v>
      </c>
      <c r="C2242" t="s">
        <v>21</v>
      </c>
      <c r="D2242">
        <v>900</v>
      </c>
      <c r="E2242">
        <v>65102</v>
      </c>
    </row>
    <row r="2243" spans="1:5" x14ac:dyDescent="0.35">
      <c r="A2243" s="2">
        <v>45170</v>
      </c>
      <c r="B2243" t="s">
        <v>66</v>
      </c>
      <c r="C2243" t="s">
        <v>21</v>
      </c>
      <c r="D2243">
        <v>134</v>
      </c>
      <c r="E2243">
        <v>1868</v>
      </c>
    </row>
    <row r="2244" spans="1:5" x14ac:dyDescent="0.35">
      <c r="A2244" s="2">
        <v>45170</v>
      </c>
      <c r="B2244" t="s">
        <v>55</v>
      </c>
      <c r="C2244" t="s">
        <v>21</v>
      </c>
      <c r="D2244">
        <v>2178</v>
      </c>
      <c r="E2244">
        <v>30725</v>
      </c>
    </row>
    <row r="2245" spans="1:5" x14ac:dyDescent="0.35">
      <c r="A2245" s="2">
        <v>45170</v>
      </c>
      <c r="B2245" t="s">
        <v>56</v>
      </c>
      <c r="C2245" t="s">
        <v>21</v>
      </c>
      <c r="D2245">
        <v>12</v>
      </c>
      <c r="E2245">
        <v>732</v>
      </c>
    </row>
    <row r="2246" spans="1:5" x14ac:dyDescent="0.35">
      <c r="A2246" s="2">
        <v>45170</v>
      </c>
      <c r="B2246" t="s">
        <v>67</v>
      </c>
      <c r="C2246" t="s">
        <v>21</v>
      </c>
      <c r="D2246">
        <v>2002</v>
      </c>
      <c r="E2246">
        <v>31468</v>
      </c>
    </row>
    <row r="2247" spans="1:5" x14ac:dyDescent="0.35">
      <c r="A2247" s="2">
        <v>45170</v>
      </c>
      <c r="B2247" t="s">
        <v>77</v>
      </c>
      <c r="C2247" t="s">
        <v>21</v>
      </c>
      <c r="D2247">
        <v>560</v>
      </c>
      <c r="E2247">
        <v>5539</v>
      </c>
    </row>
    <row r="2248" spans="1:5" x14ac:dyDescent="0.35">
      <c r="A2248" s="2">
        <v>45170</v>
      </c>
      <c r="B2248" t="s">
        <v>78</v>
      </c>
      <c r="C2248" t="s">
        <v>21</v>
      </c>
      <c r="D2248">
        <v>7209</v>
      </c>
      <c r="E2248">
        <v>129851</v>
      </c>
    </row>
    <row r="2249" spans="1:5" x14ac:dyDescent="0.35">
      <c r="A2249" s="2">
        <v>45170</v>
      </c>
      <c r="B2249" t="s">
        <v>74</v>
      </c>
      <c r="C2249" t="s">
        <v>21</v>
      </c>
      <c r="D2249">
        <v>321</v>
      </c>
      <c r="E2249">
        <v>44459</v>
      </c>
    </row>
    <row r="2250" spans="1:5" x14ac:dyDescent="0.35">
      <c r="A2250" s="2">
        <v>45170</v>
      </c>
      <c r="B2250" t="s">
        <v>72</v>
      </c>
      <c r="C2250" t="s">
        <v>21</v>
      </c>
      <c r="D2250">
        <v>68</v>
      </c>
      <c r="E2250">
        <v>5403</v>
      </c>
    </row>
    <row r="2251" spans="1:5" x14ac:dyDescent="0.35">
      <c r="A2251" s="2">
        <v>45170</v>
      </c>
      <c r="B2251" t="s">
        <v>57</v>
      </c>
      <c r="C2251" t="s">
        <v>21</v>
      </c>
      <c r="D2251">
        <v>113</v>
      </c>
      <c r="E2251">
        <v>8372</v>
      </c>
    </row>
    <row r="2252" spans="1:5" x14ac:dyDescent="0.35">
      <c r="A2252" s="2">
        <v>45170</v>
      </c>
      <c r="B2252" t="s">
        <v>75</v>
      </c>
      <c r="C2252" t="s">
        <v>21</v>
      </c>
      <c r="D2252">
        <v>524</v>
      </c>
      <c r="E2252">
        <v>31209</v>
      </c>
    </row>
    <row r="2253" spans="1:5" x14ac:dyDescent="0.35">
      <c r="A2253" s="2">
        <v>45170</v>
      </c>
      <c r="B2253" t="s">
        <v>79</v>
      </c>
      <c r="C2253" t="s">
        <v>21</v>
      </c>
      <c r="D2253">
        <v>10590</v>
      </c>
      <c r="E2253">
        <v>106981</v>
      </c>
    </row>
    <row r="2254" spans="1:5" x14ac:dyDescent="0.35">
      <c r="A2254" s="2">
        <v>45170</v>
      </c>
      <c r="B2254" t="s">
        <v>80</v>
      </c>
      <c r="C2254" t="s">
        <v>21</v>
      </c>
      <c r="D2254">
        <v>4461</v>
      </c>
      <c r="E2254">
        <v>48967</v>
      </c>
    </row>
    <row r="2255" spans="1:5" x14ac:dyDescent="0.35">
      <c r="A2255" s="2">
        <v>45170</v>
      </c>
      <c r="B2255" t="s">
        <v>68</v>
      </c>
      <c r="C2255" t="s">
        <v>21</v>
      </c>
      <c r="D2255">
        <v>3283</v>
      </c>
      <c r="E2255">
        <v>74064</v>
      </c>
    </row>
    <row r="2256" spans="1:5" x14ac:dyDescent="0.35">
      <c r="A2256" s="2">
        <v>45170</v>
      </c>
      <c r="B2256" t="s">
        <v>81</v>
      </c>
      <c r="C2256" t="s">
        <v>21</v>
      </c>
      <c r="D2256">
        <v>12444</v>
      </c>
      <c r="E2256">
        <v>134556</v>
      </c>
    </row>
    <row r="2257" spans="1:5" x14ac:dyDescent="0.35">
      <c r="A2257" s="2">
        <v>45170</v>
      </c>
      <c r="B2257" t="s">
        <v>60</v>
      </c>
      <c r="C2257" t="s">
        <v>21</v>
      </c>
      <c r="D2257">
        <v>11</v>
      </c>
      <c r="E2257">
        <v>1991</v>
      </c>
    </row>
    <row r="2258" spans="1:5" x14ac:dyDescent="0.35">
      <c r="A2258" s="2">
        <v>45170</v>
      </c>
      <c r="B2258" t="s">
        <v>61</v>
      </c>
      <c r="C2258" t="s">
        <v>21</v>
      </c>
      <c r="D2258">
        <v>6</v>
      </c>
      <c r="E2258">
        <v>1561</v>
      </c>
    </row>
    <row r="2259" spans="1:5" x14ac:dyDescent="0.35">
      <c r="A2259" s="2">
        <v>45170</v>
      </c>
      <c r="B2259" t="s">
        <v>69</v>
      </c>
      <c r="C2259" t="s">
        <v>21</v>
      </c>
      <c r="D2259">
        <v>3049</v>
      </c>
      <c r="E2259">
        <v>45630</v>
      </c>
    </row>
    <row r="2260" spans="1:5" x14ac:dyDescent="0.35">
      <c r="A2260" s="2">
        <v>45170</v>
      </c>
      <c r="B2260" t="s">
        <v>63</v>
      </c>
      <c r="C2260" t="s">
        <v>21</v>
      </c>
      <c r="D2260">
        <v>136</v>
      </c>
      <c r="E2260">
        <v>3350</v>
      </c>
    </row>
    <row r="2261" spans="1:5" x14ac:dyDescent="0.35">
      <c r="A2261" s="2">
        <v>45170</v>
      </c>
      <c r="B2261" t="s">
        <v>70</v>
      </c>
      <c r="C2261" t="s">
        <v>21</v>
      </c>
      <c r="D2261">
        <v>676</v>
      </c>
      <c r="E2261">
        <v>35832</v>
      </c>
    </row>
    <row r="2262" spans="1:5" x14ac:dyDescent="0.35">
      <c r="A2262" s="2">
        <v>45170</v>
      </c>
      <c r="B2262" t="s">
        <v>82</v>
      </c>
      <c r="C2262" t="s">
        <v>21</v>
      </c>
      <c r="D2262">
        <v>4336</v>
      </c>
      <c r="E2262">
        <v>81056</v>
      </c>
    </row>
    <row r="2263" spans="1:5" x14ac:dyDescent="0.35">
      <c r="A2263" s="2">
        <v>45170</v>
      </c>
      <c r="B2263" t="s">
        <v>83</v>
      </c>
      <c r="C2263" t="s">
        <v>21</v>
      </c>
      <c r="D2263">
        <v>5178</v>
      </c>
      <c r="E2263">
        <v>116071</v>
      </c>
    </row>
    <row r="2264" spans="1:5" x14ac:dyDescent="0.35">
      <c r="A2264" s="2">
        <v>45170</v>
      </c>
      <c r="B2264" t="s">
        <v>64</v>
      </c>
      <c r="C2264" t="s">
        <v>21</v>
      </c>
      <c r="D2264">
        <v>17</v>
      </c>
      <c r="E2264">
        <v>3157</v>
      </c>
    </row>
    <row r="2265" spans="1:5" x14ac:dyDescent="0.35">
      <c r="A2265" s="2">
        <v>45170</v>
      </c>
      <c r="B2265" t="s">
        <v>84</v>
      </c>
      <c r="C2265" t="s">
        <v>21</v>
      </c>
      <c r="D2265">
        <v>3141</v>
      </c>
      <c r="E2265">
        <v>143067</v>
      </c>
    </row>
    <row r="2266" spans="1:5" x14ac:dyDescent="0.35">
      <c r="A2266" s="2">
        <v>45170</v>
      </c>
      <c r="B2266" t="s">
        <v>71</v>
      </c>
      <c r="C2266" t="s">
        <v>21</v>
      </c>
      <c r="D2266">
        <v>262</v>
      </c>
      <c r="E2266">
        <v>12642</v>
      </c>
    </row>
    <row r="2267" spans="1:5" x14ac:dyDescent="0.35">
      <c r="A2267" s="2">
        <v>45170</v>
      </c>
      <c r="B2267" t="s">
        <v>85</v>
      </c>
      <c r="C2267" t="s">
        <v>21</v>
      </c>
      <c r="D2267">
        <v>489</v>
      </c>
      <c r="E2267">
        <v>58361</v>
      </c>
    </row>
    <row r="2268" spans="1:5" x14ac:dyDescent="0.35">
      <c r="A2268" s="2">
        <v>45200</v>
      </c>
      <c r="B2268" t="s">
        <v>76</v>
      </c>
      <c r="C2268" t="s">
        <v>21</v>
      </c>
      <c r="D2268">
        <v>1757</v>
      </c>
      <c r="E2268">
        <v>66154</v>
      </c>
    </row>
    <row r="2269" spans="1:5" x14ac:dyDescent="0.35">
      <c r="A2269" s="2">
        <v>45200</v>
      </c>
      <c r="B2269" t="s">
        <v>54</v>
      </c>
      <c r="C2269" t="s">
        <v>21</v>
      </c>
      <c r="D2269">
        <v>245</v>
      </c>
      <c r="E2269">
        <v>51372</v>
      </c>
    </row>
    <row r="2270" spans="1:5" x14ac:dyDescent="0.35">
      <c r="A2270" s="2">
        <v>45200</v>
      </c>
      <c r="B2270" t="s">
        <v>65</v>
      </c>
      <c r="C2270" t="s">
        <v>21</v>
      </c>
      <c r="D2270">
        <v>820</v>
      </c>
      <c r="E2270">
        <v>65088</v>
      </c>
    </row>
    <row r="2271" spans="1:5" x14ac:dyDescent="0.35">
      <c r="A2271" s="2">
        <v>45200</v>
      </c>
      <c r="B2271" t="s">
        <v>66</v>
      </c>
      <c r="C2271" t="s">
        <v>21</v>
      </c>
      <c r="D2271">
        <v>157</v>
      </c>
      <c r="E2271">
        <v>1964</v>
      </c>
    </row>
    <row r="2272" spans="1:5" x14ac:dyDescent="0.35">
      <c r="A2272" s="2">
        <v>45200</v>
      </c>
      <c r="B2272" t="s">
        <v>55</v>
      </c>
      <c r="C2272" t="s">
        <v>21</v>
      </c>
      <c r="D2272">
        <v>2195</v>
      </c>
      <c r="E2272">
        <v>38600</v>
      </c>
    </row>
    <row r="2273" spans="1:5" x14ac:dyDescent="0.35">
      <c r="A2273" s="2">
        <v>45200</v>
      </c>
      <c r="B2273" t="s">
        <v>56</v>
      </c>
      <c r="C2273" t="s">
        <v>21</v>
      </c>
      <c r="D2273">
        <v>4</v>
      </c>
      <c r="E2273">
        <v>1109</v>
      </c>
    </row>
    <row r="2274" spans="1:5" x14ac:dyDescent="0.35">
      <c r="A2274" s="2">
        <v>45200</v>
      </c>
      <c r="B2274" t="s">
        <v>67</v>
      </c>
      <c r="C2274" t="s">
        <v>21</v>
      </c>
      <c r="D2274">
        <v>2611</v>
      </c>
      <c r="E2274">
        <v>35861</v>
      </c>
    </row>
    <row r="2275" spans="1:5" x14ac:dyDescent="0.35">
      <c r="A2275" s="2">
        <v>45200</v>
      </c>
      <c r="B2275" t="s">
        <v>77</v>
      </c>
      <c r="C2275" t="s">
        <v>21</v>
      </c>
      <c r="D2275">
        <v>567</v>
      </c>
      <c r="E2275">
        <v>5377</v>
      </c>
    </row>
    <row r="2276" spans="1:5" x14ac:dyDescent="0.35">
      <c r="A2276" s="2">
        <v>45200</v>
      </c>
      <c r="B2276" t="s">
        <v>78</v>
      </c>
      <c r="C2276" t="s">
        <v>21</v>
      </c>
      <c r="D2276">
        <v>8417</v>
      </c>
      <c r="E2276">
        <v>149414</v>
      </c>
    </row>
    <row r="2277" spans="1:5" x14ac:dyDescent="0.35">
      <c r="A2277" s="2">
        <v>45200</v>
      </c>
      <c r="B2277" t="s">
        <v>74</v>
      </c>
      <c r="C2277" t="s">
        <v>21</v>
      </c>
      <c r="D2277">
        <v>591</v>
      </c>
      <c r="E2277">
        <v>37096</v>
      </c>
    </row>
    <row r="2278" spans="1:5" x14ac:dyDescent="0.35">
      <c r="A2278" s="2">
        <v>45200</v>
      </c>
      <c r="B2278" t="s">
        <v>72</v>
      </c>
      <c r="C2278" t="s">
        <v>21</v>
      </c>
      <c r="D2278">
        <v>53</v>
      </c>
      <c r="E2278">
        <v>4480</v>
      </c>
    </row>
    <row r="2279" spans="1:5" x14ac:dyDescent="0.35">
      <c r="A2279" s="2">
        <v>45200</v>
      </c>
      <c r="B2279" t="s">
        <v>57</v>
      </c>
      <c r="C2279" t="s">
        <v>21</v>
      </c>
      <c r="D2279">
        <v>137</v>
      </c>
      <c r="E2279">
        <v>6736</v>
      </c>
    </row>
    <row r="2280" spans="1:5" x14ac:dyDescent="0.35">
      <c r="A2280" s="2">
        <v>45200</v>
      </c>
      <c r="B2280" t="s">
        <v>75</v>
      </c>
      <c r="C2280" t="s">
        <v>21</v>
      </c>
      <c r="D2280">
        <v>502</v>
      </c>
      <c r="E2280">
        <v>33632</v>
      </c>
    </row>
    <row r="2281" spans="1:5" x14ac:dyDescent="0.35">
      <c r="A2281" s="2">
        <v>45200</v>
      </c>
      <c r="B2281" t="s">
        <v>79</v>
      </c>
      <c r="C2281" t="s">
        <v>21</v>
      </c>
      <c r="D2281">
        <v>11137</v>
      </c>
      <c r="E2281">
        <v>108712</v>
      </c>
    </row>
    <row r="2282" spans="1:5" x14ac:dyDescent="0.35">
      <c r="A2282" s="2">
        <v>45200</v>
      </c>
      <c r="B2282" t="s">
        <v>80</v>
      </c>
      <c r="C2282" t="s">
        <v>21</v>
      </c>
      <c r="D2282">
        <v>5051</v>
      </c>
      <c r="E2282">
        <v>36841</v>
      </c>
    </row>
    <row r="2283" spans="1:5" x14ac:dyDescent="0.35">
      <c r="A2283" s="2">
        <v>45200</v>
      </c>
      <c r="B2283" t="s">
        <v>68</v>
      </c>
      <c r="C2283" t="s">
        <v>21</v>
      </c>
      <c r="D2283">
        <v>3262</v>
      </c>
      <c r="E2283">
        <v>99036</v>
      </c>
    </row>
    <row r="2284" spans="1:5" x14ac:dyDescent="0.35">
      <c r="A2284" s="2">
        <v>45200</v>
      </c>
      <c r="B2284" t="s">
        <v>81</v>
      </c>
      <c r="C2284" t="s">
        <v>21</v>
      </c>
      <c r="D2284">
        <v>15716</v>
      </c>
      <c r="E2284">
        <v>167065</v>
      </c>
    </row>
    <row r="2285" spans="1:5" x14ac:dyDescent="0.35">
      <c r="A2285" s="2">
        <v>45200</v>
      </c>
      <c r="B2285" t="s">
        <v>59</v>
      </c>
      <c r="C2285" t="s">
        <v>21</v>
      </c>
      <c r="D2285">
        <v>6</v>
      </c>
      <c r="E2285">
        <v>1035</v>
      </c>
    </row>
    <row r="2286" spans="1:5" x14ac:dyDescent="0.35">
      <c r="A2286" s="2">
        <v>45200</v>
      </c>
      <c r="B2286" t="s">
        <v>61</v>
      </c>
      <c r="C2286" t="s">
        <v>21</v>
      </c>
      <c r="D2286">
        <v>36</v>
      </c>
      <c r="E2286">
        <v>1958</v>
      </c>
    </row>
    <row r="2287" spans="1:5" x14ac:dyDescent="0.35">
      <c r="A2287" s="2">
        <v>45200</v>
      </c>
      <c r="B2287" t="s">
        <v>69</v>
      </c>
      <c r="C2287" t="s">
        <v>21</v>
      </c>
      <c r="D2287">
        <v>3972</v>
      </c>
      <c r="E2287">
        <v>71596</v>
      </c>
    </row>
    <row r="2288" spans="1:5" x14ac:dyDescent="0.35">
      <c r="A2288" s="2">
        <v>45200</v>
      </c>
      <c r="B2288" t="s">
        <v>63</v>
      </c>
      <c r="C2288" t="s">
        <v>21</v>
      </c>
      <c r="D2288">
        <v>197</v>
      </c>
      <c r="E2288">
        <v>3765</v>
      </c>
    </row>
    <row r="2289" spans="1:5" x14ac:dyDescent="0.35">
      <c r="A2289" s="2">
        <v>45200</v>
      </c>
      <c r="B2289" t="s">
        <v>70</v>
      </c>
      <c r="C2289" t="s">
        <v>21</v>
      </c>
      <c r="D2289">
        <v>760</v>
      </c>
      <c r="E2289">
        <v>34028</v>
      </c>
    </row>
    <row r="2290" spans="1:5" x14ac:dyDescent="0.35">
      <c r="A2290" s="2">
        <v>45200</v>
      </c>
      <c r="B2290" t="s">
        <v>82</v>
      </c>
      <c r="C2290" t="s">
        <v>21</v>
      </c>
      <c r="D2290">
        <v>4906</v>
      </c>
      <c r="E2290">
        <v>103647</v>
      </c>
    </row>
    <row r="2291" spans="1:5" x14ac:dyDescent="0.35">
      <c r="A2291" s="2">
        <v>45200</v>
      </c>
      <c r="B2291" t="s">
        <v>83</v>
      </c>
      <c r="C2291" t="s">
        <v>21</v>
      </c>
      <c r="D2291">
        <v>6507</v>
      </c>
      <c r="E2291">
        <v>131658</v>
      </c>
    </row>
    <row r="2292" spans="1:5" x14ac:dyDescent="0.35">
      <c r="A2292" s="2">
        <v>45200</v>
      </c>
      <c r="B2292" t="s">
        <v>64</v>
      </c>
      <c r="C2292" t="s">
        <v>21</v>
      </c>
      <c r="D2292">
        <v>6</v>
      </c>
      <c r="E2292">
        <v>4285</v>
      </c>
    </row>
    <row r="2293" spans="1:5" x14ac:dyDescent="0.35">
      <c r="A2293" s="2">
        <v>45200</v>
      </c>
      <c r="B2293" t="s">
        <v>84</v>
      </c>
      <c r="C2293" t="s">
        <v>21</v>
      </c>
      <c r="D2293">
        <v>3775</v>
      </c>
      <c r="E2293">
        <v>162993</v>
      </c>
    </row>
    <row r="2294" spans="1:5" x14ac:dyDescent="0.35">
      <c r="A2294" s="2">
        <v>45200</v>
      </c>
      <c r="B2294" t="s">
        <v>71</v>
      </c>
      <c r="C2294" t="s">
        <v>21</v>
      </c>
      <c r="D2294">
        <v>383</v>
      </c>
      <c r="E2294">
        <v>13890</v>
      </c>
    </row>
    <row r="2295" spans="1:5" x14ac:dyDescent="0.35">
      <c r="A2295" s="2">
        <v>45200</v>
      </c>
      <c r="B2295" t="s">
        <v>85</v>
      </c>
      <c r="C2295" t="s">
        <v>21</v>
      </c>
      <c r="D2295">
        <v>851</v>
      </c>
      <c r="E2295">
        <v>65489</v>
      </c>
    </row>
    <row r="2296" spans="1:5" x14ac:dyDescent="0.35">
      <c r="A2296" s="2">
        <v>45231</v>
      </c>
      <c r="B2296" t="s">
        <v>52</v>
      </c>
      <c r="C2296" t="s">
        <v>21</v>
      </c>
      <c r="D2296">
        <v>3</v>
      </c>
      <c r="E2296">
        <v>598</v>
      </c>
    </row>
    <row r="2297" spans="1:5" x14ac:dyDescent="0.35">
      <c r="A2297" s="2">
        <v>45231</v>
      </c>
      <c r="B2297" t="s">
        <v>76</v>
      </c>
      <c r="C2297" t="s">
        <v>21</v>
      </c>
      <c r="D2297">
        <v>1997</v>
      </c>
      <c r="E2297">
        <v>79246</v>
      </c>
    </row>
    <row r="2298" spans="1:5" x14ac:dyDescent="0.35">
      <c r="A2298" s="2">
        <v>45231</v>
      </c>
      <c r="B2298" t="s">
        <v>54</v>
      </c>
      <c r="C2298" t="s">
        <v>21</v>
      </c>
      <c r="D2298">
        <v>244</v>
      </c>
      <c r="E2298">
        <v>41326</v>
      </c>
    </row>
    <row r="2299" spans="1:5" x14ac:dyDescent="0.35">
      <c r="A2299" s="2">
        <v>45231</v>
      </c>
      <c r="B2299" t="s">
        <v>65</v>
      </c>
      <c r="C2299" t="s">
        <v>21</v>
      </c>
      <c r="D2299">
        <v>1765</v>
      </c>
      <c r="E2299">
        <v>149828</v>
      </c>
    </row>
    <row r="2300" spans="1:5" x14ac:dyDescent="0.35">
      <c r="A2300" s="2">
        <v>45231</v>
      </c>
      <c r="B2300" t="s">
        <v>66</v>
      </c>
      <c r="C2300" t="s">
        <v>21</v>
      </c>
      <c r="D2300">
        <v>241</v>
      </c>
      <c r="E2300">
        <v>2430</v>
      </c>
    </row>
    <row r="2301" spans="1:5" x14ac:dyDescent="0.35">
      <c r="A2301" s="2">
        <v>45231</v>
      </c>
      <c r="B2301" t="s">
        <v>55</v>
      </c>
      <c r="C2301" t="s">
        <v>21</v>
      </c>
      <c r="D2301">
        <v>3880</v>
      </c>
      <c r="E2301">
        <v>76276</v>
      </c>
    </row>
    <row r="2302" spans="1:5" x14ac:dyDescent="0.35">
      <c r="A2302" s="2">
        <v>45231</v>
      </c>
      <c r="B2302" t="s">
        <v>56</v>
      </c>
      <c r="C2302" t="s">
        <v>21</v>
      </c>
      <c r="D2302">
        <v>15</v>
      </c>
      <c r="E2302">
        <v>1185</v>
      </c>
    </row>
    <row r="2303" spans="1:5" x14ac:dyDescent="0.35">
      <c r="A2303" s="2">
        <v>45231</v>
      </c>
      <c r="B2303" t="s">
        <v>67</v>
      </c>
      <c r="C2303" t="s">
        <v>21</v>
      </c>
      <c r="D2303">
        <v>3976</v>
      </c>
      <c r="E2303">
        <v>56736</v>
      </c>
    </row>
    <row r="2304" spans="1:5" x14ac:dyDescent="0.35">
      <c r="A2304" s="2">
        <v>45231</v>
      </c>
      <c r="B2304" t="s">
        <v>77</v>
      </c>
      <c r="C2304" t="s">
        <v>21</v>
      </c>
      <c r="D2304">
        <v>977</v>
      </c>
      <c r="E2304">
        <v>6217</v>
      </c>
    </row>
    <row r="2305" spans="1:5" x14ac:dyDescent="0.35">
      <c r="A2305" s="2">
        <v>45231</v>
      </c>
      <c r="B2305" t="s">
        <v>78</v>
      </c>
      <c r="C2305" t="s">
        <v>21</v>
      </c>
      <c r="D2305">
        <v>5424</v>
      </c>
      <c r="E2305">
        <v>152556</v>
      </c>
    </row>
    <row r="2306" spans="1:5" x14ac:dyDescent="0.35">
      <c r="A2306" s="2">
        <v>45231</v>
      </c>
      <c r="B2306" t="s">
        <v>74</v>
      </c>
      <c r="C2306" t="s">
        <v>21</v>
      </c>
      <c r="D2306">
        <v>565</v>
      </c>
      <c r="E2306">
        <v>42364</v>
      </c>
    </row>
    <row r="2307" spans="1:5" x14ac:dyDescent="0.35">
      <c r="A2307" s="2">
        <v>45231</v>
      </c>
      <c r="B2307" t="s">
        <v>72</v>
      </c>
      <c r="C2307" t="s">
        <v>21</v>
      </c>
      <c r="D2307">
        <v>53</v>
      </c>
      <c r="E2307">
        <v>6131</v>
      </c>
    </row>
    <row r="2308" spans="1:5" x14ac:dyDescent="0.35">
      <c r="A2308" s="2">
        <v>45231</v>
      </c>
      <c r="B2308" t="s">
        <v>57</v>
      </c>
      <c r="C2308" t="s">
        <v>21</v>
      </c>
      <c r="D2308">
        <v>172</v>
      </c>
      <c r="E2308">
        <v>8743</v>
      </c>
    </row>
    <row r="2309" spans="1:5" x14ac:dyDescent="0.35">
      <c r="A2309" s="2">
        <v>45231</v>
      </c>
      <c r="B2309" t="s">
        <v>75</v>
      </c>
      <c r="C2309" t="s">
        <v>21</v>
      </c>
      <c r="D2309">
        <v>825</v>
      </c>
      <c r="E2309">
        <v>63696</v>
      </c>
    </row>
    <row r="2310" spans="1:5" x14ac:dyDescent="0.35">
      <c r="A2310" s="2">
        <v>45231</v>
      </c>
      <c r="B2310" t="s">
        <v>79</v>
      </c>
      <c r="C2310" t="s">
        <v>21</v>
      </c>
      <c r="D2310">
        <v>14300</v>
      </c>
      <c r="E2310">
        <v>136535</v>
      </c>
    </row>
    <row r="2311" spans="1:5" x14ac:dyDescent="0.35">
      <c r="A2311" s="2">
        <v>45231</v>
      </c>
      <c r="B2311" t="s">
        <v>80</v>
      </c>
      <c r="C2311" t="s">
        <v>21</v>
      </c>
      <c r="D2311">
        <v>5352</v>
      </c>
      <c r="E2311">
        <v>36822</v>
      </c>
    </row>
    <row r="2312" spans="1:5" x14ac:dyDescent="0.35">
      <c r="A2312" s="2">
        <v>45231</v>
      </c>
      <c r="B2312" t="s">
        <v>68</v>
      </c>
      <c r="C2312" t="s">
        <v>21</v>
      </c>
      <c r="D2312">
        <v>4861</v>
      </c>
      <c r="E2312">
        <v>204532</v>
      </c>
    </row>
    <row r="2313" spans="1:5" x14ac:dyDescent="0.35">
      <c r="A2313" s="2">
        <v>45231</v>
      </c>
      <c r="B2313" t="s">
        <v>81</v>
      </c>
      <c r="C2313" t="s">
        <v>21</v>
      </c>
      <c r="D2313">
        <v>19008</v>
      </c>
      <c r="E2313">
        <v>230768</v>
      </c>
    </row>
    <row r="2314" spans="1:5" x14ac:dyDescent="0.35">
      <c r="A2314" s="2">
        <v>45231</v>
      </c>
      <c r="B2314" t="s">
        <v>59</v>
      </c>
      <c r="C2314" t="s">
        <v>21</v>
      </c>
      <c r="D2314">
        <v>10</v>
      </c>
      <c r="E2314">
        <v>812</v>
      </c>
    </row>
    <row r="2315" spans="1:5" x14ac:dyDescent="0.35">
      <c r="A2315" s="2">
        <v>45231</v>
      </c>
      <c r="B2315" t="s">
        <v>60</v>
      </c>
      <c r="C2315" t="s">
        <v>21</v>
      </c>
      <c r="D2315">
        <v>6</v>
      </c>
      <c r="E2315">
        <v>1893</v>
      </c>
    </row>
    <row r="2316" spans="1:5" x14ac:dyDescent="0.35">
      <c r="A2316" s="2">
        <v>45231</v>
      </c>
      <c r="B2316" t="s">
        <v>61</v>
      </c>
      <c r="C2316" t="s">
        <v>21</v>
      </c>
      <c r="D2316">
        <v>35</v>
      </c>
      <c r="E2316">
        <v>1977</v>
      </c>
    </row>
    <row r="2317" spans="1:5" x14ac:dyDescent="0.35">
      <c r="A2317" s="2">
        <v>45231</v>
      </c>
      <c r="B2317" t="s">
        <v>69</v>
      </c>
      <c r="C2317" t="s">
        <v>21</v>
      </c>
      <c r="D2317">
        <v>4345</v>
      </c>
      <c r="E2317">
        <v>63423</v>
      </c>
    </row>
    <row r="2318" spans="1:5" x14ac:dyDescent="0.35">
      <c r="A2318" s="2">
        <v>45231</v>
      </c>
      <c r="B2318" t="s">
        <v>63</v>
      </c>
      <c r="C2318" t="s">
        <v>21</v>
      </c>
      <c r="D2318">
        <v>194</v>
      </c>
      <c r="E2318">
        <v>3681</v>
      </c>
    </row>
    <row r="2319" spans="1:5" x14ac:dyDescent="0.35">
      <c r="A2319" s="2">
        <v>45231</v>
      </c>
      <c r="B2319" t="s">
        <v>70</v>
      </c>
      <c r="C2319" t="s">
        <v>21</v>
      </c>
      <c r="D2319">
        <v>1184</v>
      </c>
      <c r="E2319">
        <v>48694</v>
      </c>
    </row>
    <row r="2320" spans="1:5" x14ac:dyDescent="0.35">
      <c r="A2320" s="2">
        <v>45231</v>
      </c>
      <c r="B2320" t="s">
        <v>82</v>
      </c>
      <c r="C2320" t="s">
        <v>21</v>
      </c>
      <c r="D2320">
        <v>7743</v>
      </c>
      <c r="E2320">
        <v>191722</v>
      </c>
    </row>
    <row r="2321" spans="1:5" x14ac:dyDescent="0.35">
      <c r="A2321" s="2">
        <v>45231</v>
      </c>
      <c r="B2321" t="s">
        <v>83</v>
      </c>
      <c r="C2321" t="s">
        <v>21</v>
      </c>
      <c r="D2321">
        <v>7096</v>
      </c>
      <c r="E2321">
        <v>121926</v>
      </c>
    </row>
    <row r="2322" spans="1:5" x14ac:dyDescent="0.35">
      <c r="A2322" s="2">
        <v>45231</v>
      </c>
      <c r="B2322" t="s">
        <v>64</v>
      </c>
      <c r="C2322" t="s">
        <v>21</v>
      </c>
      <c r="D2322">
        <v>11</v>
      </c>
      <c r="E2322">
        <v>4893</v>
      </c>
    </row>
    <row r="2323" spans="1:5" x14ac:dyDescent="0.35">
      <c r="A2323" s="2">
        <v>45231</v>
      </c>
      <c r="B2323" t="s">
        <v>84</v>
      </c>
      <c r="C2323" t="s">
        <v>21</v>
      </c>
      <c r="D2323">
        <v>5327</v>
      </c>
      <c r="E2323">
        <v>387983</v>
      </c>
    </row>
    <row r="2324" spans="1:5" x14ac:dyDescent="0.35">
      <c r="A2324" s="2">
        <v>45231</v>
      </c>
      <c r="B2324" t="s">
        <v>71</v>
      </c>
      <c r="C2324" t="s">
        <v>21</v>
      </c>
      <c r="D2324">
        <v>626</v>
      </c>
      <c r="E2324">
        <v>24522</v>
      </c>
    </row>
    <row r="2325" spans="1:5" x14ac:dyDescent="0.35">
      <c r="A2325" s="2">
        <v>45231</v>
      </c>
      <c r="B2325" t="s">
        <v>85</v>
      </c>
      <c r="C2325" t="s">
        <v>21</v>
      </c>
      <c r="D2325">
        <v>1007</v>
      </c>
      <c r="E2325">
        <v>97240</v>
      </c>
    </row>
    <row r="2326" spans="1:5" x14ac:dyDescent="0.35">
      <c r="A2326" s="2">
        <v>45261</v>
      </c>
      <c r="B2326" t="s">
        <v>52</v>
      </c>
      <c r="C2326" t="s">
        <v>21</v>
      </c>
      <c r="D2326">
        <v>7</v>
      </c>
      <c r="E2326">
        <v>430</v>
      </c>
    </row>
    <row r="2327" spans="1:5" x14ac:dyDescent="0.35">
      <c r="A2327" s="2">
        <v>45261</v>
      </c>
      <c r="B2327" t="s">
        <v>76</v>
      </c>
      <c r="C2327" t="s">
        <v>21</v>
      </c>
      <c r="D2327">
        <v>2372</v>
      </c>
      <c r="E2327">
        <v>60868</v>
      </c>
    </row>
    <row r="2328" spans="1:5" x14ac:dyDescent="0.35">
      <c r="A2328" s="2">
        <v>45261</v>
      </c>
      <c r="B2328" t="s">
        <v>53</v>
      </c>
      <c r="C2328" t="s">
        <v>21</v>
      </c>
      <c r="D2328">
        <v>2</v>
      </c>
      <c r="E2328">
        <v>1377</v>
      </c>
    </row>
    <row r="2329" spans="1:5" x14ac:dyDescent="0.35">
      <c r="A2329" s="2">
        <v>45261</v>
      </c>
      <c r="B2329" t="s">
        <v>54</v>
      </c>
      <c r="C2329" t="s">
        <v>21</v>
      </c>
      <c r="D2329">
        <v>204</v>
      </c>
      <c r="E2329">
        <v>38490</v>
      </c>
    </row>
    <row r="2330" spans="1:5" x14ac:dyDescent="0.35">
      <c r="A2330" s="2">
        <v>45261</v>
      </c>
      <c r="B2330" t="s">
        <v>65</v>
      </c>
      <c r="C2330" t="s">
        <v>21</v>
      </c>
      <c r="D2330">
        <v>1354</v>
      </c>
      <c r="E2330">
        <v>91064</v>
      </c>
    </row>
    <row r="2331" spans="1:5" x14ac:dyDescent="0.35">
      <c r="A2331" s="2">
        <v>45261</v>
      </c>
      <c r="B2331" t="s">
        <v>66</v>
      </c>
      <c r="C2331" t="s">
        <v>21</v>
      </c>
      <c r="D2331">
        <v>137</v>
      </c>
      <c r="E2331">
        <v>1162</v>
      </c>
    </row>
    <row r="2332" spans="1:5" x14ac:dyDescent="0.35">
      <c r="A2332" s="2">
        <v>45261</v>
      </c>
      <c r="B2332" t="s">
        <v>55</v>
      </c>
      <c r="C2332" t="s">
        <v>21</v>
      </c>
      <c r="D2332">
        <v>1865</v>
      </c>
      <c r="E2332">
        <v>31773</v>
      </c>
    </row>
    <row r="2333" spans="1:5" x14ac:dyDescent="0.35">
      <c r="A2333" s="2">
        <v>45261</v>
      </c>
      <c r="B2333" t="s">
        <v>56</v>
      </c>
      <c r="C2333" t="s">
        <v>21</v>
      </c>
      <c r="D2333">
        <v>13</v>
      </c>
      <c r="E2333">
        <v>1447</v>
      </c>
    </row>
    <row r="2334" spans="1:5" x14ac:dyDescent="0.35">
      <c r="A2334" s="2">
        <v>45261</v>
      </c>
      <c r="B2334" t="s">
        <v>67</v>
      </c>
      <c r="C2334" t="s">
        <v>21</v>
      </c>
      <c r="D2334">
        <v>5380</v>
      </c>
      <c r="E2334">
        <v>27097</v>
      </c>
    </row>
    <row r="2335" spans="1:5" x14ac:dyDescent="0.35">
      <c r="A2335" s="2">
        <v>45261</v>
      </c>
      <c r="B2335" t="s">
        <v>77</v>
      </c>
      <c r="C2335" t="s">
        <v>21</v>
      </c>
      <c r="D2335">
        <v>799</v>
      </c>
      <c r="E2335">
        <v>4299</v>
      </c>
    </row>
    <row r="2336" spans="1:5" x14ac:dyDescent="0.35">
      <c r="A2336" s="2">
        <v>45261</v>
      </c>
      <c r="B2336" t="s">
        <v>78</v>
      </c>
      <c r="C2336" t="s">
        <v>21</v>
      </c>
      <c r="D2336">
        <v>4080</v>
      </c>
      <c r="E2336">
        <v>85848</v>
      </c>
    </row>
    <row r="2337" spans="1:5" x14ac:dyDescent="0.35">
      <c r="A2337" s="2">
        <v>45261</v>
      </c>
      <c r="B2337" t="s">
        <v>74</v>
      </c>
      <c r="C2337" t="s">
        <v>21</v>
      </c>
      <c r="D2337">
        <v>1019</v>
      </c>
      <c r="E2337">
        <v>60574</v>
      </c>
    </row>
    <row r="2338" spans="1:5" x14ac:dyDescent="0.35">
      <c r="A2338" s="2">
        <v>45261</v>
      </c>
      <c r="B2338" t="s">
        <v>72</v>
      </c>
      <c r="C2338" t="s">
        <v>21</v>
      </c>
      <c r="D2338">
        <v>102</v>
      </c>
      <c r="E2338">
        <v>9988</v>
      </c>
    </row>
    <row r="2339" spans="1:5" x14ac:dyDescent="0.35">
      <c r="A2339" s="2">
        <v>45261</v>
      </c>
      <c r="B2339" t="s">
        <v>57</v>
      </c>
      <c r="C2339" t="s">
        <v>21</v>
      </c>
      <c r="D2339">
        <v>96</v>
      </c>
      <c r="E2339">
        <v>3661</v>
      </c>
    </row>
    <row r="2340" spans="1:5" x14ac:dyDescent="0.35">
      <c r="A2340" s="2">
        <v>45261</v>
      </c>
      <c r="B2340" t="s">
        <v>75</v>
      </c>
      <c r="C2340" t="s">
        <v>21</v>
      </c>
      <c r="D2340">
        <v>632</v>
      </c>
      <c r="E2340">
        <v>32673</v>
      </c>
    </row>
    <row r="2341" spans="1:5" x14ac:dyDescent="0.35">
      <c r="A2341" s="2">
        <v>45261</v>
      </c>
      <c r="B2341" t="s">
        <v>79</v>
      </c>
      <c r="C2341" t="s">
        <v>21</v>
      </c>
      <c r="D2341">
        <v>10237</v>
      </c>
      <c r="E2341">
        <v>91996</v>
      </c>
    </row>
    <row r="2342" spans="1:5" x14ac:dyDescent="0.35">
      <c r="A2342" s="2">
        <v>45261</v>
      </c>
      <c r="B2342" t="s">
        <v>80</v>
      </c>
      <c r="C2342" t="s">
        <v>21</v>
      </c>
      <c r="D2342">
        <v>4866</v>
      </c>
      <c r="E2342">
        <v>35712</v>
      </c>
    </row>
    <row r="2343" spans="1:5" x14ac:dyDescent="0.35">
      <c r="A2343" s="2">
        <v>45261</v>
      </c>
      <c r="B2343" t="s">
        <v>68</v>
      </c>
      <c r="C2343" t="s">
        <v>21</v>
      </c>
      <c r="D2343">
        <v>3359</v>
      </c>
      <c r="E2343">
        <v>88017</v>
      </c>
    </row>
    <row r="2344" spans="1:5" x14ac:dyDescent="0.35">
      <c r="A2344" s="2">
        <v>45261</v>
      </c>
      <c r="B2344" t="s">
        <v>81</v>
      </c>
      <c r="C2344" t="s">
        <v>21</v>
      </c>
      <c r="D2344">
        <v>14495</v>
      </c>
      <c r="E2344">
        <v>174125</v>
      </c>
    </row>
    <row r="2345" spans="1:5" x14ac:dyDescent="0.35">
      <c r="A2345" s="2">
        <v>45261</v>
      </c>
      <c r="B2345" t="s">
        <v>59</v>
      </c>
      <c r="C2345" t="s">
        <v>21</v>
      </c>
      <c r="D2345">
        <v>6</v>
      </c>
      <c r="E2345">
        <v>976</v>
      </c>
    </row>
    <row r="2346" spans="1:5" x14ac:dyDescent="0.35">
      <c r="A2346" s="2">
        <v>45261</v>
      </c>
      <c r="B2346" t="s">
        <v>61</v>
      </c>
      <c r="C2346" t="s">
        <v>21</v>
      </c>
      <c r="D2346">
        <v>24</v>
      </c>
      <c r="E2346">
        <v>1974</v>
      </c>
    </row>
    <row r="2347" spans="1:5" x14ac:dyDescent="0.35">
      <c r="A2347" s="2">
        <v>45261</v>
      </c>
      <c r="B2347" t="s">
        <v>69</v>
      </c>
      <c r="C2347" t="s">
        <v>21</v>
      </c>
      <c r="D2347">
        <v>4383</v>
      </c>
      <c r="E2347">
        <v>48402</v>
      </c>
    </row>
    <row r="2348" spans="1:5" x14ac:dyDescent="0.35">
      <c r="A2348" s="2">
        <v>45261</v>
      </c>
      <c r="B2348" t="s">
        <v>63</v>
      </c>
      <c r="C2348" t="s">
        <v>21</v>
      </c>
      <c r="D2348">
        <v>224</v>
      </c>
      <c r="E2348">
        <v>2836</v>
      </c>
    </row>
    <row r="2349" spans="1:5" x14ac:dyDescent="0.35">
      <c r="A2349" s="2">
        <v>45261</v>
      </c>
      <c r="B2349" t="s">
        <v>70</v>
      </c>
      <c r="C2349" t="s">
        <v>21</v>
      </c>
      <c r="D2349">
        <v>951</v>
      </c>
      <c r="E2349">
        <v>45523</v>
      </c>
    </row>
    <row r="2350" spans="1:5" x14ac:dyDescent="0.35">
      <c r="A2350" s="2">
        <v>45261</v>
      </c>
      <c r="B2350" t="s">
        <v>82</v>
      </c>
      <c r="C2350" t="s">
        <v>21</v>
      </c>
      <c r="D2350">
        <v>4676</v>
      </c>
      <c r="E2350">
        <v>99479</v>
      </c>
    </row>
    <row r="2351" spans="1:5" x14ac:dyDescent="0.35">
      <c r="A2351" s="2">
        <v>45261</v>
      </c>
      <c r="B2351" t="s">
        <v>83</v>
      </c>
      <c r="C2351" t="s">
        <v>21</v>
      </c>
      <c r="D2351">
        <v>5403</v>
      </c>
      <c r="E2351">
        <v>82736</v>
      </c>
    </row>
    <row r="2352" spans="1:5" x14ac:dyDescent="0.35">
      <c r="A2352" s="2">
        <v>45261</v>
      </c>
      <c r="B2352" t="s">
        <v>64</v>
      </c>
      <c r="C2352" t="s">
        <v>21</v>
      </c>
      <c r="D2352">
        <v>40</v>
      </c>
      <c r="E2352">
        <v>3663</v>
      </c>
    </row>
    <row r="2353" spans="1:5" x14ac:dyDescent="0.35">
      <c r="A2353" s="2">
        <v>45261</v>
      </c>
      <c r="B2353" t="s">
        <v>84</v>
      </c>
      <c r="C2353" t="s">
        <v>21</v>
      </c>
      <c r="D2353">
        <v>5487</v>
      </c>
      <c r="E2353">
        <v>211546</v>
      </c>
    </row>
    <row r="2354" spans="1:5" x14ac:dyDescent="0.35">
      <c r="A2354" s="2">
        <v>45261</v>
      </c>
      <c r="B2354" t="s">
        <v>71</v>
      </c>
      <c r="C2354" t="s">
        <v>21</v>
      </c>
      <c r="D2354">
        <v>655</v>
      </c>
      <c r="E2354">
        <v>19337</v>
      </c>
    </row>
    <row r="2355" spans="1:5" x14ac:dyDescent="0.35">
      <c r="A2355" s="2">
        <v>45261</v>
      </c>
      <c r="B2355" t="s">
        <v>85</v>
      </c>
      <c r="C2355" t="s">
        <v>21</v>
      </c>
      <c r="D2355">
        <v>2625</v>
      </c>
      <c r="E2355">
        <v>90092</v>
      </c>
    </row>
    <row r="2356" spans="1:5" x14ac:dyDescent="0.35">
      <c r="A2356" s="2">
        <v>45292</v>
      </c>
      <c r="B2356" t="s">
        <v>84</v>
      </c>
      <c r="C2356" t="s">
        <v>21</v>
      </c>
      <c r="D2356">
        <v>5668</v>
      </c>
      <c r="E2356">
        <v>181667</v>
      </c>
    </row>
    <row r="2357" spans="1:5" x14ac:dyDescent="0.35">
      <c r="A2357" s="2">
        <v>45292</v>
      </c>
      <c r="B2357" t="s">
        <v>81</v>
      </c>
      <c r="C2357" t="s">
        <v>21</v>
      </c>
      <c r="D2357">
        <v>16367</v>
      </c>
      <c r="E2357">
        <v>172830</v>
      </c>
    </row>
    <row r="2358" spans="1:5" x14ac:dyDescent="0.35">
      <c r="A2358" s="2">
        <v>45292</v>
      </c>
      <c r="B2358" t="s">
        <v>79</v>
      </c>
      <c r="C2358" t="s">
        <v>21</v>
      </c>
      <c r="D2358">
        <v>12415</v>
      </c>
      <c r="E2358">
        <v>115920</v>
      </c>
    </row>
    <row r="2359" spans="1:5" x14ac:dyDescent="0.35">
      <c r="A2359" s="2">
        <v>45292</v>
      </c>
      <c r="B2359" t="s">
        <v>83</v>
      </c>
      <c r="C2359" t="s">
        <v>21</v>
      </c>
      <c r="D2359">
        <v>7580</v>
      </c>
      <c r="E2359">
        <v>153753</v>
      </c>
    </row>
    <row r="2360" spans="1:5" x14ac:dyDescent="0.35">
      <c r="A2360" s="2">
        <v>45292</v>
      </c>
      <c r="B2360" t="s">
        <v>65</v>
      </c>
      <c r="C2360" t="s">
        <v>21</v>
      </c>
      <c r="D2360">
        <v>1288</v>
      </c>
      <c r="E2360">
        <v>71556</v>
      </c>
    </row>
    <row r="2361" spans="1:5" x14ac:dyDescent="0.35">
      <c r="A2361" s="2">
        <v>45292</v>
      </c>
      <c r="B2361" t="s">
        <v>80</v>
      </c>
      <c r="C2361" t="s">
        <v>21</v>
      </c>
      <c r="D2361">
        <v>6457</v>
      </c>
      <c r="E2361">
        <v>42509</v>
      </c>
    </row>
    <row r="2362" spans="1:5" x14ac:dyDescent="0.35">
      <c r="A2362" s="2">
        <v>45292</v>
      </c>
      <c r="B2362" t="s">
        <v>82</v>
      </c>
      <c r="C2362" t="s">
        <v>21</v>
      </c>
      <c r="D2362">
        <v>4432</v>
      </c>
      <c r="E2362">
        <v>78862</v>
      </c>
    </row>
    <row r="2363" spans="1:5" x14ac:dyDescent="0.35">
      <c r="A2363" s="2">
        <v>45292</v>
      </c>
      <c r="B2363" t="s">
        <v>67</v>
      </c>
      <c r="C2363" t="s">
        <v>21</v>
      </c>
      <c r="D2363">
        <v>3073</v>
      </c>
      <c r="E2363">
        <v>38413</v>
      </c>
    </row>
    <row r="2364" spans="1:5" x14ac:dyDescent="0.35">
      <c r="A2364" s="2">
        <v>45292</v>
      </c>
      <c r="B2364" t="s">
        <v>68</v>
      </c>
      <c r="C2364" t="s">
        <v>21</v>
      </c>
      <c r="D2364">
        <v>3684</v>
      </c>
      <c r="E2364">
        <v>92100</v>
      </c>
    </row>
    <row r="2365" spans="1:5" x14ac:dyDescent="0.35">
      <c r="A2365" s="2">
        <v>45292</v>
      </c>
      <c r="B2365" t="s">
        <v>78</v>
      </c>
      <c r="C2365" t="s">
        <v>21</v>
      </c>
      <c r="D2365">
        <v>5424</v>
      </c>
      <c r="E2365">
        <v>91933</v>
      </c>
    </row>
    <row r="2366" spans="1:5" x14ac:dyDescent="0.35">
      <c r="A2366" s="2">
        <v>45292</v>
      </c>
      <c r="B2366" t="s">
        <v>69</v>
      </c>
      <c r="C2366" t="s">
        <v>21</v>
      </c>
      <c r="D2366">
        <v>3883</v>
      </c>
      <c r="E2366">
        <v>53485</v>
      </c>
    </row>
    <row r="2367" spans="1:5" x14ac:dyDescent="0.35">
      <c r="A2367" s="2">
        <v>45292</v>
      </c>
      <c r="B2367" t="s">
        <v>54</v>
      </c>
      <c r="C2367" t="s">
        <v>21</v>
      </c>
      <c r="D2367">
        <v>253</v>
      </c>
      <c r="E2367">
        <v>44386</v>
      </c>
    </row>
    <row r="2368" spans="1:5" x14ac:dyDescent="0.35">
      <c r="A2368" s="2">
        <v>45292</v>
      </c>
      <c r="B2368" t="s">
        <v>74</v>
      </c>
      <c r="C2368" t="s">
        <v>21</v>
      </c>
      <c r="D2368">
        <v>1259</v>
      </c>
      <c r="E2368">
        <v>42824</v>
      </c>
    </row>
    <row r="2369" spans="1:5" x14ac:dyDescent="0.35">
      <c r="A2369" s="2">
        <v>45292</v>
      </c>
      <c r="B2369" t="s">
        <v>55</v>
      </c>
      <c r="C2369" t="s">
        <v>21</v>
      </c>
      <c r="D2369">
        <v>2367</v>
      </c>
      <c r="E2369">
        <v>42881</v>
      </c>
    </row>
    <row r="2370" spans="1:5" x14ac:dyDescent="0.35">
      <c r="A2370" s="2">
        <v>45292</v>
      </c>
      <c r="B2370" t="s">
        <v>85</v>
      </c>
      <c r="C2370" t="s">
        <v>21</v>
      </c>
      <c r="D2370">
        <v>1636</v>
      </c>
      <c r="E2370">
        <v>72390</v>
      </c>
    </row>
    <row r="2371" spans="1:5" x14ac:dyDescent="0.35">
      <c r="A2371" s="2">
        <v>45292</v>
      </c>
      <c r="B2371" t="s">
        <v>70</v>
      </c>
      <c r="C2371" t="s">
        <v>21</v>
      </c>
      <c r="D2371">
        <v>821</v>
      </c>
      <c r="E2371">
        <v>33511</v>
      </c>
    </row>
    <row r="2372" spans="1:5" x14ac:dyDescent="0.35">
      <c r="A2372" s="2">
        <v>45292</v>
      </c>
      <c r="B2372" t="s">
        <v>76</v>
      </c>
      <c r="C2372" t="s">
        <v>21</v>
      </c>
      <c r="D2372">
        <v>2134</v>
      </c>
      <c r="E2372">
        <v>53619</v>
      </c>
    </row>
    <row r="2373" spans="1:5" x14ac:dyDescent="0.35">
      <c r="A2373" s="2">
        <v>45292</v>
      </c>
      <c r="B2373" t="s">
        <v>75</v>
      </c>
      <c r="C2373" t="s">
        <v>21</v>
      </c>
      <c r="D2373">
        <v>551</v>
      </c>
      <c r="E2373">
        <v>30612</v>
      </c>
    </row>
    <row r="2374" spans="1:5" x14ac:dyDescent="0.35">
      <c r="A2374" s="2">
        <v>45292</v>
      </c>
      <c r="B2374" t="s">
        <v>71</v>
      </c>
      <c r="C2374" t="s">
        <v>21</v>
      </c>
      <c r="D2374">
        <v>382</v>
      </c>
      <c r="E2374">
        <v>11682</v>
      </c>
    </row>
    <row r="2375" spans="1:5" x14ac:dyDescent="0.35">
      <c r="A2375" s="2">
        <v>45292</v>
      </c>
      <c r="B2375" t="s">
        <v>57</v>
      </c>
      <c r="C2375" t="s">
        <v>21</v>
      </c>
      <c r="D2375">
        <v>219</v>
      </c>
      <c r="E2375">
        <v>4582</v>
      </c>
    </row>
    <row r="2376" spans="1:5" x14ac:dyDescent="0.35">
      <c r="A2376" s="2">
        <v>45292</v>
      </c>
      <c r="B2376" t="s">
        <v>77</v>
      </c>
      <c r="C2376" t="s">
        <v>21</v>
      </c>
      <c r="D2376">
        <v>832</v>
      </c>
      <c r="E2376">
        <v>5079</v>
      </c>
    </row>
    <row r="2377" spans="1:5" x14ac:dyDescent="0.35">
      <c r="A2377" s="2">
        <v>45292</v>
      </c>
      <c r="B2377" t="s">
        <v>66</v>
      </c>
      <c r="C2377" t="s">
        <v>21</v>
      </c>
      <c r="D2377">
        <v>118</v>
      </c>
      <c r="E2377">
        <v>1450</v>
      </c>
    </row>
    <row r="2378" spans="1:5" x14ac:dyDescent="0.35">
      <c r="A2378" s="2">
        <v>45292</v>
      </c>
      <c r="B2378" t="s">
        <v>64</v>
      </c>
      <c r="C2378" t="s">
        <v>21</v>
      </c>
      <c r="D2378">
        <v>3</v>
      </c>
      <c r="E2378">
        <v>3000</v>
      </c>
    </row>
    <row r="2379" spans="1:5" x14ac:dyDescent="0.35">
      <c r="A2379" s="2">
        <v>45292</v>
      </c>
      <c r="B2379" t="s">
        <v>63</v>
      </c>
      <c r="C2379" t="s">
        <v>21</v>
      </c>
      <c r="D2379">
        <v>310</v>
      </c>
      <c r="E2379">
        <v>5141</v>
      </c>
    </row>
    <row r="2380" spans="1:5" x14ac:dyDescent="0.35">
      <c r="A2380" s="2">
        <v>45292</v>
      </c>
      <c r="B2380" t="s">
        <v>72</v>
      </c>
      <c r="C2380" t="s">
        <v>21</v>
      </c>
      <c r="D2380">
        <v>79</v>
      </c>
      <c r="E2380">
        <v>6031</v>
      </c>
    </row>
    <row r="2381" spans="1:5" x14ac:dyDescent="0.35">
      <c r="A2381" s="2">
        <v>45292</v>
      </c>
      <c r="B2381" t="s">
        <v>56</v>
      </c>
      <c r="C2381" t="s">
        <v>21</v>
      </c>
      <c r="D2381">
        <v>31</v>
      </c>
      <c r="E2381">
        <v>866</v>
      </c>
    </row>
    <row r="2382" spans="1:5" x14ac:dyDescent="0.35">
      <c r="A2382" s="2">
        <v>45292</v>
      </c>
      <c r="B2382" t="s">
        <v>59</v>
      </c>
      <c r="C2382" t="s">
        <v>21</v>
      </c>
      <c r="D2382">
        <v>7</v>
      </c>
      <c r="E2382">
        <v>1556</v>
      </c>
    </row>
    <row r="2383" spans="1:5" x14ac:dyDescent="0.35">
      <c r="A2383" s="2">
        <v>45292</v>
      </c>
      <c r="B2383" t="s">
        <v>61</v>
      </c>
      <c r="C2383" t="s">
        <v>21</v>
      </c>
      <c r="D2383">
        <v>28</v>
      </c>
      <c r="E2383">
        <v>1872</v>
      </c>
    </row>
    <row r="2384" spans="1:5" x14ac:dyDescent="0.35">
      <c r="A2384" s="2">
        <v>45292</v>
      </c>
      <c r="B2384" t="s">
        <v>60</v>
      </c>
      <c r="C2384" t="s">
        <v>21</v>
      </c>
      <c r="D2384">
        <v>26</v>
      </c>
      <c r="E2384">
        <v>1625</v>
      </c>
    </row>
    <row r="2385" spans="1:5" x14ac:dyDescent="0.35">
      <c r="A2385" s="2">
        <v>45292</v>
      </c>
      <c r="B2385" t="s">
        <v>58</v>
      </c>
      <c r="C2385" t="s">
        <v>21</v>
      </c>
      <c r="D2385">
        <v>14</v>
      </c>
      <c r="E2385">
        <v>37</v>
      </c>
    </row>
    <row r="2386" spans="1:5" x14ac:dyDescent="0.35">
      <c r="A2386" s="2">
        <v>45292</v>
      </c>
      <c r="B2386" t="s">
        <v>73</v>
      </c>
      <c r="C2386" t="s">
        <v>21</v>
      </c>
      <c r="D2386">
        <v>2</v>
      </c>
      <c r="E2386">
        <v>483</v>
      </c>
    </row>
    <row r="2387" spans="1:5" x14ac:dyDescent="0.35">
      <c r="A2387" s="2">
        <v>45323</v>
      </c>
      <c r="B2387" t="s">
        <v>84</v>
      </c>
      <c r="C2387" t="s">
        <v>21</v>
      </c>
      <c r="D2387">
        <v>6557</v>
      </c>
      <c r="E2387">
        <v>206846</v>
      </c>
    </row>
    <row r="2388" spans="1:5" x14ac:dyDescent="0.35">
      <c r="A2388" s="2">
        <v>45323</v>
      </c>
      <c r="B2388" t="s">
        <v>81</v>
      </c>
      <c r="C2388" t="s">
        <v>21</v>
      </c>
      <c r="D2388">
        <v>15193</v>
      </c>
      <c r="E2388">
        <v>147649</v>
      </c>
    </row>
    <row r="2389" spans="1:5" x14ac:dyDescent="0.35">
      <c r="A2389" s="2">
        <v>45323</v>
      </c>
      <c r="B2389" t="s">
        <v>79</v>
      </c>
      <c r="C2389" t="s">
        <v>21</v>
      </c>
      <c r="D2389">
        <v>12605</v>
      </c>
      <c r="E2389">
        <v>108852</v>
      </c>
    </row>
    <row r="2390" spans="1:5" x14ac:dyDescent="0.35">
      <c r="A2390" s="2">
        <v>45323</v>
      </c>
      <c r="B2390" t="s">
        <v>83</v>
      </c>
      <c r="C2390" t="s">
        <v>21</v>
      </c>
      <c r="D2390">
        <v>8647</v>
      </c>
      <c r="E2390">
        <v>143638</v>
      </c>
    </row>
    <row r="2391" spans="1:5" x14ac:dyDescent="0.35">
      <c r="A2391" s="2">
        <v>45323</v>
      </c>
      <c r="B2391" t="s">
        <v>82</v>
      </c>
      <c r="C2391" t="s">
        <v>21</v>
      </c>
      <c r="D2391">
        <v>5145</v>
      </c>
      <c r="E2391">
        <v>81152</v>
      </c>
    </row>
    <row r="2392" spans="1:5" x14ac:dyDescent="0.35">
      <c r="A2392" s="2">
        <v>45323</v>
      </c>
      <c r="B2392" t="s">
        <v>65</v>
      </c>
      <c r="C2392" t="s">
        <v>21</v>
      </c>
      <c r="D2392">
        <v>1301</v>
      </c>
      <c r="E2392">
        <v>83398</v>
      </c>
    </row>
    <row r="2393" spans="1:5" x14ac:dyDescent="0.35">
      <c r="A2393" s="2">
        <v>45323</v>
      </c>
      <c r="B2393" t="s">
        <v>68</v>
      </c>
      <c r="C2393" t="s">
        <v>21</v>
      </c>
      <c r="D2393">
        <v>4006</v>
      </c>
      <c r="E2393">
        <v>87659</v>
      </c>
    </row>
    <row r="2394" spans="1:5" x14ac:dyDescent="0.35">
      <c r="A2394" s="2">
        <v>45323</v>
      </c>
      <c r="B2394" t="s">
        <v>80</v>
      </c>
      <c r="C2394" t="s">
        <v>21</v>
      </c>
      <c r="D2394">
        <v>5389</v>
      </c>
      <c r="E2394">
        <v>38356</v>
      </c>
    </row>
    <row r="2395" spans="1:5" x14ac:dyDescent="0.35">
      <c r="A2395" s="2">
        <v>45323</v>
      </c>
      <c r="B2395" t="s">
        <v>78</v>
      </c>
      <c r="C2395" t="s">
        <v>21</v>
      </c>
      <c r="D2395">
        <v>5103</v>
      </c>
      <c r="E2395">
        <v>88441</v>
      </c>
    </row>
    <row r="2396" spans="1:5" x14ac:dyDescent="0.35">
      <c r="A2396" s="2">
        <v>45323</v>
      </c>
      <c r="B2396" t="s">
        <v>67</v>
      </c>
      <c r="C2396" t="s">
        <v>21</v>
      </c>
      <c r="D2396">
        <v>2364</v>
      </c>
      <c r="E2396">
        <v>30504</v>
      </c>
    </row>
    <row r="2397" spans="1:5" x14ac:dyDescent="0.35">
      <c r="A2397" s="2">
        <v>45323</v>
      </c>
      <c r="B2397" t="s">
        <v>54</v>
      </c>
      <c r="C2397" t="s">
        <v>21</v>
      </c>
      <c r="D2397">
        <v>246</v>
      </c>
      <c r="E2397">
        <v>39048</v>
      </c>
    </row>
    <row r="2398" spans="1:5" x14ac:dyDescent="0.35">
      <c r="A2398" s="2">
        <v>45323</v>
      </c>
      <c r="B2398" t="s">
        <v>69</v>
      </c>
      <c r="C2398" t="s">
        <v>21</v>
      </c>
      <c r="D2398">
        <v>3733</v>
      </c>
      <c r="E2398">
        <v>57255</v>
      </c>
    </row>
    <row r="2399" spans="1:5" x14ac:dyDescent="0.35">
      <c r="A2399" s="2">
        <v>45323</v>
      </c>
      <c r="B2399" t="s">
        <v>55</v>
      </c>
      <c r="C2399" t="s">
        <v>21</v>
      </c>
      <c r="D2399">
        <v>2198</v>
      </c>
      <c r="E2399">
        <v>40110</v>
      </c>
    </row>
    <row r="2400" spans="1:5" x14ac:dyDescent="0.35">
      <c r="A2400" s="2">
        <v>45323</v>
      </c>
      <c r="B2400" t="s">
        <v>70</v>
      </c>
      <c r="C2400" t="s">
        <v>21</v>
      </c>
      <c r="D2400">
        <v>1017</v>
      </c>
      <c r="E2400">
        <v>34359</v>
      </c>
    </row>
    <row r="2401" spans="1:5" x14ac:dyDescent="0.35">
      <c r="A2401" s="2">
        <v>45323</v>
      </c>
      <c r="B2401" t="s">
        <v>76</v>
      </c>
      <c r="C2401" t="s">
        <v>21</v>
      </c>
      <c r="D2401">
        <v>2830</v>
      </c>
      <c r="E2401">
        <v>56600</v>
      </c>
    </row>
    <row r="2402" spans="1:5" x14ac:dyDescent="0.35">
      <c r="A2402" s="2">
        <v>45323</v>
      </c>
      <c r="B2402" t="s">
        <v>74</v>
      </c>
      <c r="C2402" t="s">
        <v>21</v>
      </c>
      <c r="D2402">
        <v>1075</v>
      </c>
      <c r="E2402">
        <v>38121</v>
      </c>
    </row>
    <row r="2403" spans="1:5" x14ac:dyDescent="0.35">
      <c r="A2403" s="2">
        <v>45323</v>
      </c>
      <c r="B2403" t="s">
        <v>85</v>
      </c>
      <c r="C2403" t="s">
        <v>21</v>
      </c>
      <c r="D2403">
        <v>1341</v>
      </c>
      <c r="E2403">
        <v>74089</v>
      </c>
    </row>
    <row r="2404" spans="1:5" x14ac:dyDescent="0.35">
      <c r="A2404" s="2">
        <v>45323</v>
      </c>
      <c r="B2404" t="s">
        <v>75</v>
      </c>
      <c r="C2404" t="s">
        <v>21</v>
      </c>
      <c r="D2404">
        <v>710</v>
      </c>
      <c r="E2404">
        <v>34467</v>
      </c>
    </row>
    <row r="2405" spans="1:5" x14ac:dyDescent="0.35">
      <c r="A2405" s="2">
        <v>45323</v>
      </c>
      <c r="B2405" t="s">
        <v>71</v>
      </c>
      <c r="C2405" t="s">
        <v>21</v>
      </c>
      <c r="D2405">
        <v>586</v>
      </c>
      <c r="E2405">
        <v>13692</v>
      </c>
    </row>
    <row r="2406" spans="1:5" x14ac:dyDescent="0.35">
      <c r="A2406" s="2">
        <v>45323</v>
      </c>
      <c r="B2406" t="s">
        <v>57</v>
      </c>
      <c r="C2406" t="s">
        <v>21</v>
      </c>
      <c r="D2406">
        <v>233</v>
      </c>
      <c r="E2406">
        <v>5055</v>
      </c>
    </row>
    <row r="2407" spans="1:5" x14ac:dyDescent="0.35">
      <c r="A2407" s="2">
        <v>45323</v>
      </c>
      <c r="B2407" t="s">
        <v>77</v>
      </c>
      <c r="C2407" t="s">
        <v>21</v>
      </c>
      <c r="D2407">
        <v>990</v>
      </c>
      <c r="E2407">
        <v>4759</v>
      </c>
    </row>
    <row r="2408" spans="1:5" x14ac:dyDescent="0.35">
      <c r="A2408" s="2">
        <v>45323</v>
      </c>
      <c r="B2408" t="s">
        <v>64</v>
      </c>
      <c r="C2408" t="s">
        <v>21</v>
      </c>
      <c r="D2408">
        <v>24</v>
      </c>
      <c r="E2408">
        <v>3334</v>
      </c>
    </row>
    <row r="2409" spans="1:5" x14ac:dyDescent="0.35">
      <c r="A2409" s="2">
        <v>45323</v>
      </c>
      <c r="B2409" t="s">
        <v>66</v>
      </c>
      <c r="C2409" t="s">
        <v>21</v>
      </c>
      <c r="D2409">
        <v>126</v>
      </c>
      <c r="E2409">
        <v>1416</v>
      </c>
    </row>
    <row r="2410" spans="1:5" x14ac:dyDescent="0.35">
      <c r="A2410" s="2">
        <v>45323</v>
      </c>
      <c r="B2410" t="s">
        <v>63</v>
      </c>
      <c r="C2410" t="s">
        <v>21</v>
      </c>
      <c r="D2410">
        <v>384</v>
      </c>
      <c r="E2410">
        <v>4556</v>
      </c>
    </row>
    <row r="2411" spans="1:5" x14ac:dyDescent="0.35">
      <c r="A2411" s="2">
        <v>45323</v>
      </c>
      <c r="B2411" t="s">
        <v>72</v>
      </c>
      <c r="C2411" t="s">
        <v>21</v>
      </c>
      <c r="D2411">
        <v>66</v>
      </c>
      <c r="E2411">
        <v>4926</v>
      </c>
    </row>
    <row r="2412" spans="1:5" x14ac:dyDescent="0.35">
      <c r="A2412" s="2">
        <v>45323</v>
      </c>
      <c r="B2412" t="s">
        <v>61</v>
      </c>
      <c r="C2412" t="s">
        <v>21</v>
      </c>
      <c r="D2412">
        <v>51</v>
      </c>
      <c r="E2412">
        <v>2146</v>
      </c>
    </row>
    <row r="2413" spans="1:5" x14ac:dyDescent="0.35">
      <c r="A2413" s="2">
        <v>45323</v>
      </c>
      <c r="B2413" t="s">
        <v>59</v>
      </c>
      <c r="C2413" t="s">
        <v>21</v>
      </c>
      <c r="D2413">
        <v>3</v>
      </c>
      <c r="E2413">
        <v>1723</v>
      </c>
    </row>
    <row r="2414" spans="1:5" x14ac:dyDescent="0.35">
      <c r="A2414" s="2">
        <v>45323</v>
      </c>
      <c r="B2414" t="s">
        <v>56</v>
      </c>
      <c r="C2414" t="s">
        <v>21</v>
      </c>
      <c r="D2414">
        <v>24</v>
      </c>
      <c r="E2414">
        <v>1052</v>
      </c>
    </row>
    <row r="2415" spans="1:5" x14ac:dyDescent="0.35">
      <c r="A2415" s="2">
        <v>45323</v>
      </c>
      <c r="B2415" t="s">
        <v>60</v>
      </c>
      <c r="C2415" t="s">
        <v>21</v>
      </c>
      <c r="D2415">
        <v>11</v>
      </c>
      <c r="E2415">
        <v>1890</v>
      </c>
    </row>
    <row r="2416" spans="1:5" x14ac:dyDescent="0.35">
      <c r="A2416" s="2">
        <v>45323</v>
      </c>
      <c r="B2416" t="s">
        <v>52</v>
      </c>
      <c r="C2416" t="s">
        <v>21</v>
      </c>
      <c r="D2416">
        <v>5</v>
      </c>
      <c r="E2416">
        <v>473</v>
      </c>
    </row>
    <row r="2417" spans="1:5" x14ac:dyDescent="0.35">
      <c r="A2417" s="2">
        <v>45352</v>
      </c>
      <c r="B2417" t="s">
        <v>81</v>
      </c>
      <c r="C2417" t="s">
        <v>21</v>
      </c>
      <c r="D2417">
        <v>26668</v>
      </c>
      <c r="E2417">
        <v>152563</v>
      </c>
    </row>
    <row r="2418" spans="1:5" x14ac:dyDescent="0.35">
      <c r="A2418" s="2">
        <v>45352</v>
      </c>
      <c r="B2418" t="s">
        <v>84</v>
      </c>
      <c r="C2418" t="s">
        <v>21</v>
      </c>
      <c r="D2418">
        <v>7799</v>
      </c>
      <c r="E2418">
        <v>210216</v>
      </c>
    </row>
    <row r="2419" spans="1:5" x14ac:dyDescent="0.35">
      <c r="A2419" s="2">
        <v>45352</v>
      </c>
      <c r="B2419" t="s">
        <v>79</v>
      </c>
      <c r="C2419" t="s">
        <v>21</v>
      </c>
      <c r="D2419">
        <v>22742</v>
      </c>
      <c r="E2419">
        <v>123800</v>
      </c>
    </row>
    <row r="2420" spans="1:5" x14ac:dyDescent="0.35">
      <c r="A2420" s="2">
        <v>45352</v>
      </c>
      <c r="B2420" t="s">
        <v>83</v>
      </c>
      <c r="C2420" t="s">
        <v>21</v>
      </c>
      <c r="D2420">
        <v>13350</v>
      </c>
      <c r="E2420">
        <v>124071</v>
      </c>
    </row>
    <row r="2421" spans="1:5" x14ac:dyDescent="0.35">
      <c r="A2421" s="2">
        <v>45352</v>
      </c>
      <c r="B2421" t="s">
        <v>82</v>
      </c>
      <c r="C2421" t="s">
        <v>21</v>
      </c>
      <c r="D2421">
        <v>7933</v>
      </c>
      <c r="E2421">
        <v>89538</v>
      </c>
    </row>
    <row r="2422" spans="1:5" x14ac:dyDescent="0.35">
      <c r="A2422" s="2">
        <v>45352</v>
      </c>
      <c r="B2422" t="s">
        <v>67</v>
      </c>
      <c r="C2422" t="s">
        <v>21</v>
      </c>
      <c r="D2422">
        <v>5002</v>
      </c>
      <c r="E2422">
        <v>31599</v>
      </c>
    </row>
    <row r="2423" spans="1:5" x14ac:dyDescent="0.35">
      <c r="A2423" s="2">
        <v>45352</v>
      </c>
      <c r="B2423" t="s">
        <v>80</v>
      </c>
      <c r="C2423" t="s">
        <v>21</v>
      </c>
      <c r="D2423">
        <v>8393</v>
      </c>
      <c r="E2423">
        <v>42909</v>
      </c>
    </row>
    <row r="2424" spans="1:5" x14ac:dyDescent="0.35">
      <c r="A2424" s="2">
        <v>45352</v>
      </c>
      <c r="B2424" t="s">
        <v>78</v>
      </c>
      <c r="C2424" t="s">
        <v>21</v>
      </c>
      <c r="D2424">
        <v>8496</v>
      </c>
      <c r="E2424">
        <v>94822</v>
      </c>
    </row>
    <row r="2425" spans="1:5" x14ac:dyDescent="0.35">
      <c r="A2425" s="2">
        <v>45352</v>
      </c>
      <c r="B2425" t="s">
        <v>65</v>
      </c>
      <c r="C2425" t="s">
        <v>21</v>
      </c>
      <c r="D2425">
        <v>2584</v>
      </c>
      <c r="E2425">
        <v>102949</v>
      </c>
    </row>
    <row r="2426" spans="1:5" x14ac:dyDescent="0.35">
      <c r="A2426" s="2">
        <v>45352</v>
      </c>
      <c r="B2426" t="s">
        <v>68</v>
      </c>
      <c r="C2426" t="s">
        <v>21</v>
      </c>
      <c r="D2426">
        <v>5772</v>
      </c>
      <c r="E2426">
        <v>95405</v>
      </c>
    </row>
    <row r="2427" spans="1:5" x14ac:dyDescent="0.35">
      <c r="A2427" s="2">
        <v>45352</v>
      </c>
      <c r="B2427" t="s">
        <v>76</v>
      </c>
      <c r="C2427" t="s">
        <v>21</v>
      </c>
      <c r="D2427">
        <v>7057</v>
      </c>
      <c r="E2427">
        <v>69119</v>
      </c>
    </row>
    <row r="2428" spans="1:5" x14ac:dyDescent="0.35">
      <c r="A2428" s="2">
        <v>45352</v>
      </c>
      <c r="B2428" t="s">
        <v>54</v>
      </c>
      <c r="C2428" t="s">
        <v>21</v>
      </c>
      <c r="D2428">
        <v>767</v>
      </c>
      <c r="E2428">
        <v>42612</v>
      </c>
    </row>
    <row r="2429" spans="1:5" x14ac:dyDescent="0.35">
      <c r="A2429" s="2">
        <v>45352</v>
      </c>
      <c r="B2429" t="s">
        <v>55</v>
      </c>
      <c r="C2429" t="s">
        <v>21</v>
      </c>
      <c r="D2429">
        <v>3610</v>
      </c>
      <c r="E2429">
        <v>46046</v>
      </c>
    </row>
    <row r="2430" spans="1:5" x14ac:dyDescent="0.35">
      <c r="A2430" s="2">
        <v>45352</v>
      </c>
      <c r="B2430" t="s">
        <v>70</v>
      </c>
      <c r="C2430" t="s">
        <v>21</v>
      </c>
      <c r="D2430">
        <v>1514</v>
      </c>
      <c r="E2430">
        <v>35877</v>
      </c>
    </row>
    <row r="2431" spans="1:5" x14ac:dyDescent="0.35">
      <c r="A2431" s="2">
        <v>45352</v>
      </c>
      <c r="B2431" t="s">
        <v>85</v>
      </c>
      <c r="C2431" t="s">
        <v>21</v>
      </c>
      <c r="D2431">
        <v>2159</v>
      </c>
      <c r="E2431">
        <v>69871</v>
      </c>
    </row>
    <row r="2432" spans="1:5" x14ac:dyDescent="0.35">
      <c r="A2432" s="2">
        <v>45352</v>
      </c>
      <c r="B2432" t="s">
        <v>74</v>
      </c>
      <c r="C2432" t="s">
        <v>21</v>
      </c>
      <c r="D2432">
        <v>1387</v>
      </c>
      <c r="E2432">
        <v>41778</v>
      </c>
    </row>
    <row r="2433" spans="1:5" x14ac:dyDescent="0.35">
      <c r="A2433" s="2">
        <v>45352</v>
      </c>
      <c r="B2433" t="s">
        <v>75</v>
      </c>
      <c r="C2433" t="s">
        <v>21</v>
      </c>
      <c r="D2433">
        <v>824</v>
      </c>
      <c r="E2433">
        <v>38149</v>
      </c>
    </row>
    <row r="2434" spans="1:5" x14ac:dyDescent="0.35">
      <c r="A2434" s="2">
        <v>45352</v>
      </c>
      <c r="B2434" t="s">
        <v>77</v>
      </c>
      <c r="C2434" t="s">
        <v>21</v>
      </c>
      <c r="D2434">
        <v>1745</v>
      </c>
      <c r="E2434">
        <v>5018</v>
      </c>
    </row>
    <row r="2435" spans="1:5" x14ac:dyDescent="0.35">
      <c r="A2435" s="2">
        <v>45352</v>
      </c>
      <c r="B2435" t="s">
        <v>71</v>
      </c>
      <c r="C2435" t="s">
        <v>21</v>
      </c>
      <c r="D2435">
        <v>579</v>
      </c>
      <c r="E2435">
        <v>12506</v>
      </c>
    </row>
    <row r="2436" spans="1:5" x14ac:dyDescent="0.35">
      <c r="A2436" s="2">
        <v>45352</v>
      </c>
      <c r="B2436" t="s">
        <v>57</v>
      </c>
      <c r="C2436" t="s">
        <v>21</v>
      </c>
      <c r="D2436">
        <v>297</v>
      </c>
      <c r="E2436">
        <v>6600</v>
      </c>
    </row>
    <row r="2437" spans="1:5" x14ac:dyDescent="0.35">
      <c r="A2437" s="2">
        <v>45352</v>
      </c>
      <c r="B2437" t="s">
        <v>64</v>
      </c>
      <c r="C2437" t="s">
        <v>21</v>
      </c>
      <c r="D2437">
        <v>41</v>
      </c>
      <c r="E2437">
        <v>3728</v>
      </c>
    </row>
    <row r="2438" spans="1:5" x14ac:dyDescent="0.35">
      <c r="A2438" s="2">
        <v>45352</v>
      </c>
      <c r="B2438" t="s">
        <v>66</v>
      </c>
      <c r="C2438" t="s">
        <v>21</v>
      </c>
      <c r="D2438">
        <v>215</v>
      </c>
      <c r="E2438">
        <v>1525</v>
      </c>
    </row>
    <row r="2439" spans="1:5" x14ac:dyDescent="0.35">
      <c r="A2439" s="2">
        <v>45352</v>
      </c>
      <c r="B2439" t="s">
        <v>63</v>
      </c>
      <c r="C2439" t="s">
        <v>21</v>
      </c>
      <c r="D2439">
        <v>477</v>
      </c>
      <c r="E2439">
        <v>4337</v>
      </c>
    </row>
    <row r="2440" spans="1:5" x14ac:dyDescent="0.35">
      <c r="A2440" s="2">
        <v>45352</v>
      </c>
      <c r="B2440" t="s">
        <v>60</v>
      </c>
      <c r="C2440" t="s">
        <v>21</v>
      </c>
      <c r="D2440">
        <v>4</v>
      </c>
      <c r="E2440">
        <v>2223</v>
      </c>
    </row>
    <row r="2441" spans="1:5" x14ac:dyDescent="0.35">
      <c r="A2441" s="2">
        <v>45352</v>
      </c>
      <c r="B2441" t="s">
        <v>72</v>
      </c>
      <c r="C2441" t="s">
        <v>21</v>
      </c>
      <c r="D2441">
        <v>90</v>
      </c>
      <c r="E2441">
        <v>4737</v>
      </c>
    </row>
    <row r="2442" spans="1:5" x14ac:dyDescent="0.35">
      <c r="A2442" s="2">
        <v>45352</v>
      </c>
      <c r="B2442" t="s">
        <v>61</v>
      </c>
      <c r="C2442" t="s">
        <v>21</v>
      </c>
      <c r="D2442">
        <v>58</v>
      </c>
      <c r="E2442">
        <v>1932</v>
      </c>
    </row>
    <row r="2443" spans="1:5" x14ac:dyDescent="0.35">
      <c r="A2443" s="2">
        <v>45352</v>
      </c>
      <c r="B2443" t="s">
        <v>56</v>
      </c>
      <c r="C2443" t="s">
        <v>21</v>
      </c>
      <c r="D2443">
        <v>25</v>
      </c>
      <c r="E2443">
        <v>780</v>
      </c>
    </row>
    <row r="2444" spans="1:5" x14ac:dyDescent="0.35">
      <c r="A2444" s="2">
        <v>45352</v>
      </c>
      <c r="B2444" t="s">
        <v>59</v>
      </c>
      <c r="C2444" t="s">
        <v>21</v>
      </c>
      <c r="D2444">
        <v>13</v>
      </c>
      <c r="E2444">
        <v>1394</v>
      </c>
    </row>
    <row r="2445" spans="1:5" x14ac:dyDescent="0.35">
      <c r="A2445" s="2">
        <v>45352</v>
      </c>
      <c r="B2445" t="s">
        <v>52</v>
      </c>
      <c r="C2445" t="s">
        <v>21</v>
      </c>
      <c r="D2445">
        <v>2</v>
      </c>
      <c r="E2445">
        <v>447</v>
      </c>
    </row>
    <row r="2446" spans="1:5" x14ac:dyDescent="0.35">
      <c r="A2446" s="2">
        <v>45352</v>
      </c>
      <c r="B2446" t="s">
        <v>62</v>
      </c>
      <c r="C2446" t="s">
        <v>21</v>
      </c>
      <c r="D2446">
        <v>2</v>
      </c>
      <c r="E2446">
        <v>1180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7DC27-C128-4C6B-9C9A-5A8B9D3A61EA}">
  <dimension ref="A1:D817"/>
  <sheetViews>
    <sheetView workbookViewId="0">
      <selection activeCell="C14" sqref="C14"/>
    </sheetView>
  </sheetViews>
  <sheetFormatPr defaultRowHeight="14.5" x14ac:dyDescent="0.35"/>
  <cols>
    <col min="1" max="1" width="10.08984375" bestFit="1" customWidth="1"/>
    <col min="2" max="2" width="17.08984375" bestFit="1" customWidth="1"/>
    <col min="3" max="3" width="19.6328125" bestFit="1" customWidth="1"/>
    <col min="4" max="4" width="21.26953125" bestFit="1" customWidth="1"/>
  </cols>
  <sheetData>
    <row r="1" spans="1:4" x14ac:dyDescent="0.35">
      <c r="A1" t="s">
        <v>11</v>
      </c>
      <c r="B1" t="s">
        <v>18</v>
      </c>
      <c r="C1" t="s">
        <v>19</v>
      </c>
      <c r="D1" t="s">
        <v>20</v>
      </c>
    </row>
    <row r="2" spans="1:4" x14ac:dyDescent="0.35">
      <c r="A2" s="2">
        <v>44287</v>
      </c>
      <c r="B2" t="s">
        <v>21</v>
      </c>
      <c r="C2" t="s">
        <v>22</v>
      </c>
      <c r="D2">
        <v>0</v>
      </c>
    </row>
    <row r="3" spans="1:4" x14ac:dyDescent="0.35">
      <c r="A3" s="2">
        <v>44652</v>
      </c>
      <c r="B3" t="s">
        <v>21</v>
      </c>
      <c r="C3" t="s">
        <v>23</v>
      </c>
      <c r="D3">
        <v>0</v>
      </c>
    </row>
    <row r="4" spans="1:4" x14ac:dyDescent="0.35">
      <c r="A4" s="2">
        <v>44317</v>
      </c>
      <c r="B4" t="s">
        <v>21</v>
      </c>
      <c r="C4" t="s">
        <v>22</v>
      </c>
      <c r="D4">
        <v>0</v>
      </c>
    </row>
    <row r="5" spans="1:4" x14ac:dyDescent="0.35">
      <c r="A5" s="2">
        <v>44348</v>
      </c>
      <c r="B5" t="s">
        <v>21</v>
      </c>
      <c r="C5" t="s">
        <v>22</v>
      </c>
      <c r="D5">
        <v>0</v>
      </c>
    </row>
    <row r="6" spans="1:4" x14ac:dyDescent="0.35">
      <c r="A6" s="2">
        <v>44378</v>
      </c>
      <c r="B6" t="s">
        <v>21</v>
      </c>
      <c r="C6" t="s">
        <v>22</v>
      </c>
      <c r="D6">
        <v>0</v>
      </c>
    </row>
    <row r="7" spans="1:4" x14ac:dyDescent="0.35">
      <c r="A7" s="2">
        <v>44409</v>
      </c>
      <c r="B7" t="s">
        <v>21</v>
      </c>
      <c r="C7" t="s">
        <v>22</v>
      </c>
      <c r="D7">
        <v>0</v>
      </c>
    </row>
    <row r="8" spans="1:4" x14ac:dyDescent="0.35">
      <c r="A8" s="2">
        <v>44440</v>
      </c>
      <c r="B8" t="s">
        <v>21</v>
      </c>
      <c r="C8" t="s">
        <v>22</v>
      </c>
      <c r="D8">
        <v>0</v>
      </c>
    </row>
    <row r="9" spans="1:4" x14ac:dyDescent="0.35">
      <c r="A9" s="2">
        <v>44470</v>
      </c>
      <c r="B9" t="s">
        <v>21</v>
      </c>
      <c r="C9" t="s">
        <v>22</v>
      </c>
      <c r="D9">
        <v>0</v>
      </c>
    </row>
    <row r="10" spans="1:4" x14ac:dyDescent="0.35">
      <c r="A10" s="2">
        <v>44501</v>
      </c>
      <c r="B10" t="s">
        <v>21</v>
      </c>
      <c r="C10" t="s">
        <v>22</v>
      </c>
      <c r="D10">
        <v>0</v>
      </c>
    </row>
    <row r="11" spans="1:4" x14ac:dyDescent="0.35">
      <c r="A11" s="2">
        <v>44287</v>
      </c>
      <c r="B11" t="s">
        <v>24</v>
      </c>
      <c r="C11" t="s">
        <v>25</v>
      </c>
      <c r="D11">
        <v>0</v>
      </c>
    </row>
    <row r="12" spans="1:4" x14ac:dyDescent="0.35">
      <c r="A12" s="2">
        <v>44287</v>
      </c>
      <c r="B12" t="s">
        <v>24</v>
      </c>
      <c r="C12" t="s">
        <v>26</v>
      </c>
      <c r="D12">
        <v>0</v>
      </c>
    </row>
    <row r="13" spans="1:4" x14ac:dyDescent="0.35">
      <c r="A13" s="2">
        <v>44287</v>
      </c>
      <c r="B13" t="s">
        <v>24</v>
      </c>
      <c r="C13" t="s">
        <v>27</v>
      </c>
      <c r="D13">
        <v>0</v>
      </c>
    </row>
    <row r="14" spans="1:4" x14ac:dyDescent="0.35">
      <c r="A14" s="2">
        <v>44287</v>
      </c>
      <c r="B14" t="s">
        <v>24</v>
      </c>
      <c r="C14" t="s">
        <v>28</v>
      </c>
      <c r="D14">
        <v>0</v>
      </c>
    </row>
    <row r="15" spans="1:4" x14ac:dyDescent="0.35">
      <c r="A15" s="2">
        <v>44287</v>
      </c>
      <c r="B15" t="s">
        <v>24</v>
      </c>
      <c r="C15" t="s">
        <v>29</v>
      </c>
      <c r="D15">
        <v>0</v>
      </c>
    </row>
    <row r="16" spans="1:4" x14ac:dyDescent="0.35">
      <c r="A16" s="2">
        <v>44652</v>
      </c>
      <c r="B16" t="s">
        <v>24</v>
      </c>
      <c r="C16" t="s">
        <v>26</v>
      </c>
      <c r="D16">
        <v>0</v>
      </c>
    </row>
    <row r="17" spans="1:4" x14ac:dyDescent="0.35">
      <c r="A17" s="2">
        <v>44652</v>
      </c>
      <c r="B17" t="s">
        <v>24</v>
      </c>
      <c r="C17" t="s">
        <v>28</v>
      </c>
      <c r="D17">
        <v>0</v>
      </c>
    </row>
    <row r="18" spans="1:4" x14ac:dyDescent="0.35">
      <c r="A18" s="2">
        <v>44652</v>
      </c>
      <c r="B18" t="s">
        <v>24</v>
      </c>
      <c r="C18" t="s">
        <v>29</v>
      </c>
      <c r="D18">
        <v>0</v>
      </c>
    </row>
    <row r="19" spans="1:4" x14ac:dyDescent="0.35">
      <c r="A19" s="2">
        <v>44317</v>
      </c>
      <c r="B19" t="s">
        <v>24</v>
      </c>
      <c r="C19" t="s">
        <v>25</v>
      </c>
      <c r="D19">
        <v>0</v>
      </c>
    </row>
    <row r="20" spans="1:4" x14ac:dyDescent="0.35">
      <c r="A20" s="2">
        <v>44317</v>
      </c>
      <c r="B20" t="s">
        <v>24</v>
      </c>
      <c r="C20" t="s">
        <v>26</v>
      </c>
      <c r="D20">
        <v>0</v>
      </c>
    </row>
    <row r="21" spans="1:4" x14ac:dyDescent="0.35">
      <c r="A21" s="2">
        <v>44317</v>
      </c>
      <c r="B21" t="s">
        <v>24</v>
      </c>
      <c r="C21" t="s">
        <v>27</v>
      </c>
      <c r="D21">
        <v>0</v>
      </c>
    </row>
    <row r="22" spans="1:4" x14ac:dyDescent="0.35">
      <c r="A22" s="2">
        <v>44317</v>
      </c>
      <c r="B22" t="s">
        <v>24</v>
      </c>
      <c r="C22" t="s">
        <v>30</v>
      </c>
      <c r="D22">
        <v>0</v>
      </c>
    </row>
    <row r="23" spans="1:4" x14ac:dyDescent="0.35">
      <c r="A23" s="2">
        <v>44317</v>
      </c>
      <c r="B23" t="s">
        <v>24</v>
      </c>
      <c r="C23" t="s">
        <v>28</v>
      </c>
      <c r="D23">
        <v>0</v>
      </c>
    </row>
    <row r="24" spans="1:4" x14ac:dyDescent="0.35">
      <c r="A24" s="2">
        <v>44317</v>
      </c>
      <c r="B24" t="s">
        <v>24</v>
      </c>
      <c r="C24" t="s">
        <v>29</v>
      </c>
      <c r="D24">
        <v>0</v>
      </c>
    </row>
    <row r="25" spans="1:4" x14ac:dyDescent="0.35">
      <c r="A25" s="2">
        <v>44682</v>
      </c>
      <c r="B25" t="s">
        <v>24</v>
      </c>
      <c r="C25" t="s">
        <v>26</v>
      </c>
      <c r="D25">
        <v>0</v>
      </c>
    </row>
    <row r="26" spans="1:4" x14ac:dyDescent="0.35">
      <c r="A26" s="2">
        <v>44682</v>
      </c>
      <c r="B26" t="s">
        <v>24</v>
      </c>
      <c r="C26" t="s">
        <v>28</v>
      </c>
      <c r="D26">
        <v>0</v>
      </c>
    </row>
    <row r="27" spans="1:4" x14ac:dyDescent="0.35">
      <c r="A27" s="2">
        <v>44682</v>
      </c>
      <c r="B27" t="s">
        <v>24</v>
      </c>
      <c r="C27" t="s">
        <v>29</v>
      </c>
      <c r="D27">
        <v>0</v>
      </c>
    </row>
    <row r="28" spans="1:4" x14ac:dyDescent="0.35">
      <c r="A28" s="2">
        <v>44348</v>
      </c>
      <c r="B28" t="s">
        <v>24</v>
      </c>
      <c r="C28" t="s">
        <v>25</v>
      </c>
      <c r="D28">
        <v>0</v>
      </c>
    </row>
    <row r="29" spans="1:4" x14ac:dyDescent="0.35">
      <c r="A29" s="2">
        <v>44348</v>
      </c>
      <c r="B29" t="s">
        <v>24</v>
      </c>
      <c r="C29" t="s">
        <v>26</v>
      </c>
      <c r="D29">
        <v>0</v>
      </c>
    </row>
    <row r="30" spans="1:4" x14ac:dyDescent="0.35">
      <c r="A30" s="2">
        <v>44348</v>
      </c>
      <c r="B30" t="s">
        <v>24</v>
      </c>
      <c r="C30" t="s">
        <v>27</v>
      </c>
      <c r="D30">
        <v>0</v>
      </c>
    </row>
    <row r="31" spans="1:4" x14ac:dyDescent="0.35">
      <c r="A31" s="2">
        <v>44348</v>
      </c>
      <c r="B31" t="s">
        <v>24</v>
      </c>
      <c r="C31" t="s">
        <v>28</v>
      </c>
      <c r="D31">
        <v>0</v>
      </c>
    </row>
    <row r="32" spans="1:4" x14ac:dyDescent="0.35">
      <c r="A32" s="2">
        <v>44348</v>
      </c>
      <c r="B32" t="s">
        <v>24</v>
      </c>
      <c r="C32" t="s">
        <v>29</v>
      </c>
      <c r="D32">
        <v>0</v>
      </c>
    </row>
    <row r="33" spans="1:4" x14ac:dyDescent="0.35">
      <c r="A33" s="2">
        <v>44713</v>
      </c>
      <c r="B33" t="s">
        <v>24</v>
      </c>
      <c r="C33" t="s">
        <v>26</v>
      </c>
      <c r="D33">
        <v>0</v>
      </c>
    </row>
    <row r="34" spans="1:4" x14ac:dyDescent="0.35">
      <c r="A34" s="2">
        <v>44713</v>
      </c>
      <c r="B34" t="s">
        <v>24</v>
      </c>
      <c r="C34" t="s">
        <v>28</v>
      </c>
      <c r="D34">
        <v>0</v>
      </c>
    </row>
    <row r="35" spans="1:4" x14ac:dyDescent="0.35">
      <c r="A35" s="2">
        <v>44713</v>
      </c>
      <c r="B35" t="s">
        <v>24</v>
      </c>
      <c r="C35" t="s">
        <v>29</v>
      </c>
      <c r="D35">
        <v>0</v>
      </c>
    </row>
    <row r="36" spans="1:4" x14ac:dyDescent="0.35">
      <c r="A36" s="2">
        <v>44378</v>
      </c>
      <c r="B36" t="s">
        <v>24</v>
      </c>
      <c r="C36" t="s">
        <v>25</v>
      </c>
      <c r="D36">
        <v>0</v>
      </c>
    </row>
    <row r="37" spans="1:4" x14ac:dyDescent="0.35">
      <c r="A37" s="2">
        <v>44378</v>
      </c>
      <c r="B37" t="s">
        <v>24</v>
      </c>
      <c r="C37" t="s">
        <v>26</v>
      </c>
      <c r="D37">
        <v>0</v>
      </c>
    </row>
    <row r="38" spans="1:4" x14ac:dyDescent="0.35">
      <c r="A38" s="2">
        <v>44378</v>
      </c>
      <c r="B38" t="s">
        <v>24</v>
      </c>
      <c r="C38" t="s">
        <v>27</v>
      </c>
      <c r="D38">
        <v>0</v>
      </c>
    </row>
    <row r="39" spans="1:4" x14ac:dyDescent="0.35">
      <c r="A39" s="2">
        <v>44378</v>
      </c>
      <c r="B39" t="s">
        <v>24</v>
      </c>
      <c r="C39" t="s">
        <v>28</v>
      </c>
      <c r="D39">
        <v>0</v>
      </c>
    </row>
    <row r="40" spans="1:4" x14ac:dyDescent="0.35">
      <c r="A40" s="2">
        <v>44378</v>
      </c>
      <c r="B40" t="s">
        <v>24</v>
      </c>
      <c r="C40" t="s">
        <v>29</v>
      </c>
      <c r="D40">
        <v>0</v>
      </c>
    </row>
    <row r="41" spans="1:4" x14ac:dyDescent="0.35">
      <c r="A41" s="2">
        <v>44743</v>
      </c>
      <c r="B41" t="s">
        <v>24</v>
      </c>
      <c r="C41" t="s">
        <v>26</v>
      </c>
      <c r="D41">
        <v>0</v>
      </c>
    </row>
    <row r="42" spans="1:4" x14ac:dyDescent="0.35">
      <c r="A42" s="2">
        <v>44743</v>
      </c>
      <c r="B42" t="s">
        <v>24</v>
      </c>
      <c r="C42" t="s">
        <v>28</v>
      </c>
      <c r="D42">
        <v>0</v>
      </c>
    </row>
    <row r="43" spans="1:4" x14ac:dyDescent="0.35">
      <c r="A43" s="2">
        <v>44743</v>
      </c>
      <c r="B43" t="s">
        <v>24</v>
      </c>
      <c r="C43" t="s">
        <v>29</v>
      </c>
      <c r="D43">
        <v>0</v>
      </c>
    </row>
    <row r="44" spans="1:4" x14ac:dyDescent="0.35">
      <c r="A44" s="2">
        <v>44409</v>
      </c>
      <c r="B44" t="s">
        <v>24</v>
      </c>
      <c r="C44" t="s">
        <v>25</v>
      </c>
      <c r="D44">
        <v>0</v>
      </c>
    </row>
    <row r="45" spans="1:4" x14ac:dyDescent="0.35">
      <c r="A45" s="2">
        <v>44409</v>
      </c>
      <c r="B45" t="s">
        <v>24</v>
      </c>
      <c r="C45" t="s">
        <v>26</v>
      </c>
      <c r="D45">
        <v>0</v>
      </c>
    </row>
    <row r="46" spans="1:4" x14ac:dyDescent="0.35">
      <c r="A46" s="2">
        <v>44409</v>
      </c>
      <c r="B46" t="s">
        <v>24</v>
      </c>
      <c r="C46" t="s">
        <v>27</v>
      </c>
      <c r="D46">
        <v>0</v>
      </c>
    </row>
    <row r="47" spans="1:4" x14ac:dyDescent="0.35">
      <c r="A47" s="2">
        <v>44409</v>
      </c>
      <c r="B47" t="s">
        <v>24</v>
      </c>
      <c r="C47" t="s">
        <v>28</v>
      </c>
      <c r="D47">
        <v>0</v>
      </c>
    </row>
    <row r="48" spans="1:4" x14ac:dyDescent="0.35">
      <c r="A48" s="2">
        <v>44409</v>
      </c>
      <c r="B48" t="s">
        <v>24</v>
      </c>
      <c r="C48" t="s">
        <v>29</v>
      </c>
      <c r="D48">
        <v>0</v>
      </c>
    </row>
    <row r="49" spans="1:4" x14ac:dyDescent="0.35">
      <c r="A49" s="2">
        <v>44774</v>
      </c>
      <c r="B49" t="s">
        <v>24</v>
      </c>
      <c r="C49" t="s">
        <v>26</v>
      </c>
      <c r="D49">
        <v>0</v>
      </c>
    </row>
    <row r="50" spans="1:4" x14ac:dyDescent="0.35">
      <c r="A50" s="2">
        <v>44774</v>
      </c>
      <c r="B50" t="s">
        <v>24</v>
      </c>
      <c r="C50" t="s">
        <v>28</v>
      </c>
      <c r="D50">
        <v>0</v>
      </c>
    </row>
    <row r="51" spans="1:4" x14ac:dyDescent="0.35">
      <c r="A51" s="2">
        <v>44774</v>
      </c>
      <c r="B51" t="s">
        <v>24</v>
      </c>
      <c r="C51" t="s">
        <v>29</v>
      </c>
      <c r="D51">
        <v>0</v>
      </c>
    </row>
    <row r="52" spans="1:4" x14ac:dyDescent="0.35">
      <c r="A52" s="2">
        <v>44440</v>
      </c>
      <c r="B52" t="s">
        <v>24</v>
      </c>
      <c r="C52" t="s">
        <v>25</v>
      </c>
      <c r="D52">
        <v>0</v>
      </c>
    </row>
    <row r="53" spans="1:4" x14ac:dyDescent="0.35">
      <c r="A53" s="2">
        <v>44440</v>
      </c>
      <c r="B53" t="s">
        <v>24</v>
      </c>
      <c r="C53" t="s">
        <v>26</v>
      </c>
      <c r="D53">
        <v>0</v>
      </c>
    </row>
    <row r="54" spans="1:4" x14ac:dyDescent="0.35">
      <c r="A54" s="2">
        <v>44440</v>
      </c>
      <c r="B54" t="s">
        <v>24</v>
      </c>
      <c r="C54" t="s">
        <v>27</v>
      </c>
      <c r="D54">
        <v>0</v>
      </c>
    </row>
    <row r="55" spans="1:4" x14ac:dyDescent="0.35">
      <c r="A55" s="2">
        <v>44440</v>
      </c>
      <c r="B55" t="s">
        <v>24</v>
      </c>
      <c r="C55" t="s">
        <v>28</v>
      </c>
      <c r="D55">
        <v>0</v>
      </c>
    </row>
    <row r="56" spans="1:4" x14ac:dyDescent="0.35">
      <c r="A56" s="2">
        <v>44440</v>
      </c>
      <c r="B56" t="s">
        <v>24</v>
      </c>
      <c r="C56" t="s">
        <v>29</v>
      </c>
      <c r="D56">
        <v>0</v>
      </c>
    </row>
    <row r="57" spans="1:4" x14ac:dyDescent="0.35">
      <c r="A57" s="2">
        <v>44805</v>
      </c>
      <c r="B57" t="s">
        <v>24</v>
      </c>
      <c r="C57" t="s">
        <v>26</v>
      </c>
      <c r="D57">
        <v>0</v>
      </c>
    </row>
    <row r="58" spans="1:4" x14ac:dyDescent="0.35">
      <c r="A58" s="2">
        <v>44805</v>
      </c>
      <c r="B58" t="s">
        <v>24</v>
      </c>
      <c r="C58" t="s">
        <v>28</v>
      </c>
      <c r="D58">
        <v>0</v>
      </c>
    </row>
    <row r="59" spans="1:4" x14ac:dyDescent="0.35">
      <c r="A59" s="2">
        <v>44805</v>
      </c>
      <c r="B59" t="s">
        <v>24</v>
      </c>
      <c r="C59" t="s">
        <v>29</v>
      </c>
      <c r="D59">
        <v>0</v>
      </c>
    </row>
    <row r="60" spans="1:4" x14ac:dyDescent="0.35">
      <c r="A60" s="2">
        <v>44470</v>
      </c>
      <c r="B60" t="s">
        <v>24</v>
      </c>
      <c r="C60" t="s">
        <v>25</v>
      </c>
      <c r="D60">
        <v>0</v>
      </c>
    </row>
    <row r="61" spans="1:4" x14ac:dyDescent="0.35">
      <c r="A61" s="2">
        <v>44470</v>
      </c>
      <c r="B61" t="s">
        <v>24</v>
      </c>
      <c r="C61" t="s">
        <v>26</v>
      </c>
      <c r="D61">
        <v>0</v>
      </c>
    </row>
    <row r="62" spans="1:4" x14ac:dyDescent="0.35">
      <c r="A62" s="2">
        <v>44470</v>
      </c>
      <c r="B62" t="s">
        <v>24</v>
      </c>
      <c r="C62" t="s">
        <v>27</v>
      </c>
      <c r="D62">
        <v>0</v>
      </c>
    </row>
    <row r="63" spans="1:4" x14ac:dyDescent="0.35">
      <c r="A63" s="2">
        <v>44470</v>
      </c>
      <c r="B63" t="s">
        <v>24</v>
      </c>
      <c r="C63" t="s">
        <v>28</v>
      </c>
      <c r="D63">
        <v>0</v>
      </c>
    </row>
    <row r="64" spans="1:4" x14ac:dyDescent="0.35">
      <c r="A64" s="2">
        <v>44470</v>
      </c>
      <c r="B64" t="s">
        <v>24</v>
      </c>
      <c r="C64" t="s">
        <v>29</v>
      </c>
      <c r="D64">
        <v>0</v>
      </c>
    </row>
    <row r="65" spans="1:4" x14ac:dyDescent="0.35">
      <c r="A65" s="2">
        <v>44835</v>
      </c>
      <c r="B65" t="s">
        <v>24</v>
      </c>
      <c r="C65" t="s">
        <v>26</v>
      </c>
      <c r="D65">
        <v>0</v>
      </c>
    </row>
    <row r="66" spans="1:4" x14ac:dyDescent="0.35">
      <c r="A66" s="2">
        <v>44835</v>
      </c>
      <c r="B66" t="s">
        <v>24</v>
      </c>
      <c r="C66" t="s">
        <v>28</v>
      </c>
      <c r="D66">
        <v>0</v>
      </c>
    </row>
    <row r="67" spans="1:4" x14ac:dyDescent="0.35">
      <c r="A67" s="2">
        <v>44501</v>
      </c>
      <c r="B67" t="s">
        <v>24</v>
      </c>
      <c r="C67" t="s">
        <v>25</v>
      </c>
      <c r="D67">
        <v>0</v>
      </c>
    </row>
    <row r="68" spans="1:4" x14ac:dyDescent="0.35">
      <c r="A68" s="2">
        <v>44501</v>
      </c>
      <c r="B68" t="s">
        <v>24</v>
      </c>
      <c r="C68" t="s">
        <v>26</v>
      </c>
      <c r="D68">
        <v>0</v>
      </c>
    </row>
    <row r="69" spans="1:4" x14ac:dyDescent="0.35">
      <c r="A69" s="2">
        <v>44501</v>
      </c>
      <c r="B69" t="s">
        <v>24</v>
      </c>
      <c r="C69" t="s">
        <v>27</v>
      </c>
      <c r="D69">
        <v>0</v>
      </c>
    </row>
    <row r="70" spans="1:4" x14ac:dyDescent="0.35">
      <c r="A70" s="2">
        <v>44501</v>
      </c>
      <c r="B70" t="s">
        <v>24</v>
      </c>
      <c r="C70" t="s">
        <v>28</v>
      </c>
      <c r="D70">
        <v>0</v>
      </c>
    </row>
    <row r="71" spans="1:4" x14ac:dyDescent="0.35">
      <c r="A71" s="2">
        <v>44501</v>
      </c>
      <c r="B71" t="s">
        <v>24</v>
      </c>
      <c r="C71" t="s">
        <v>29</v>
      </c>
      <c r="D71">
        <v>0</v>
      </c>
    </row>
    <row r="72" spans="1:4" x14ac:dyDescent="0.35">
      <c r="A72" s="2">
        <v>44866</v>
      </c>
      <c r="B72" t="s">
        <v>24</v>
      </c>
      <c r="C72" t="s">
        <v>26</v>
      </c>
      <c r="D72">
        <v>0</v>
      </c>
    </row>
    <row r="73" spans="1:4" x14ac:dyDescent="0.35">
      <c r="A73" s="2">
        <v>44531</v>
      </c>
      <c r="B73" t="s">
        <v>24</v>
      </c>
      <c r="C73" t="s">
        <v>26</v>
      </c>
      <c r="D73">
        <v>0</v>
      </c>
    </row>
    <row r="74" spans="1:4" x14ac:dyDescent="0.35">
      <c r="A74" s="2">
        <v>44531</v>
      </c>
      <c r="B74" t="s">
        <v>24</v>
      </c>
      <c r="C74" t="s">
        <v>27</v>
      </c>
      <c r="D74">
        <v>0</v>
      </c>
    </row>
    <row r="75" spans="1:4" x14ac:dyDescent="0.35">
      <c r="A75" s="2">
        <v>44531</v>
      </c>
      <c r="B75" t="s">
        <v>24</v>
      </c>
      <c r="C75" t="s">
        <v>28</v>
      </c>
      <c r="D75">
        <v>0</v>
      </c>
    </row>
    <row r="76" spans="1:4" x14ac:dyDescent="0.35">
      <c r="A76" s="2">
        <v>44531</v>
      </c>
      <c r="B76" t="s">
        <v>24</v>
      </c>
      <c r="C76" t="s">
        <v>29</v>
      </c>
      <c r="D76">
        <v>0</v>
      </c>
    </row>
    <row r="77" spans="1:4" x14ac:dyDescent="0.35">
      <c r="A77" s="2">
        <v>44896</v>
      </c>
      <c r="B77" t="s">
        <v>24</v>
      </c>
      <c r="C77" t="s">
        <v>26</v>
      </c>
      <c r="D77">
        <v>0</v>
      </c>
    </row>
    <row r="78" spans="1:4" x14ac:dyDescent="0.35">
      <c r="A78" s="2">
        <v>44562</v>
      </c>
      <c r="B78" t="s">
        <v>24</v>
      </c>
      <c r="C78" t="s">
        <v>26</v>
      </c>
      <c r="D78">
        <v>0</v>
      </c>
    </row>
    <row r="79" spans="1:4" x14ac:dyDescent="0.35">
      <c r="A79" s="2">
        <v>44562</v>
      </c>
      <c r="B79" t="s">
        <v>24</v>
      </c>
      <c r="C79" t="s">
        <v>27</v>
      </c>
      <c r="D79">
        <v>0</v>
      </c>
    </row>
    <row r="80" spans="1:4" x14ac:dyDescent="0.35">
      <c r="A80" s="2">
        <v>44562</v>
      </c>
      <c r="B80" t="s">
        <v>24</v>
      </c>
      <c r="C80" t="s">
        <v>28</v>
      </c>
      <c r="D80">
        <v>0</v>
      </c>
    </row>
    <row r="81" spans="1:4" x14ac:dyDescent="0.35">
      <c r="A81" s="2">
        <v>44562</v>
      </c>
      <c r="B81" t="s">
        <v>24</v>
      </c>
      <c r="C81" t="s">
        <v>29</v>
      </c>
      <c r="D81">
        <v>0</v>
      </c>
    </row>
    <row r="82" spans="1:4" x14ac:dyDescent="0.35">
      <c r="A82" s="2">
        <v>44927</v>
      </c>
      <c r="B82" t="s">
        <v>24</v>
      </c>
      <c r="C82" t="s">
        <v>26</v>
      </c>
      <c r="D82">
        <v>0</v>
      </c>
    </row>
    <row r="83" spans="1:4" x14ac:dyDescent="0.35">
      <c r="A83" s="2">
        <v>44593</v>
      </c>
      <c r="B83" t="s">
        <v>24</v>
      </c>
      <c r="C83" t="s">
        <v>26</v>
      </c>
      <c r="D83">
        <v>0</v>
      </c>
    </row>
    <row r="84" spans="1:4" x14ac:dyDescent="0.35">
      <c r="A84" s="2">
        <v>44593</v>
      </c>
      <c r="B84" t="s">
        <v>24</v>
      </c>
      <c r="C84" t="s">
        <v>27</v>
      </c>
      <c r="D84">
        <v>0</v>
      </c>
    </row>
    <row r="85" spans="1:4" x14ac:dyDescent="0.35">
      <c r="A85" s="2">
        <v>44593</v>
      </c>
      <c r="B85" t="s">
        <v>24</v>
      </c>
      <c r="C85" t="s">
        <v>28</v>
      </c>
      <c r="D85">
        <v>0</v>
      </c>
    </row>
    <row r="86" spans="1:4" x14ac:dyDescent="0.35">
      <c r="A86" s="2">
        <v>44593</v>
      </c>
      <c r="B86" t="s">
        <v>24</v>
      </c>
      <c r="C86" t="s">
        <v>29</v>
      </c>
      <c r="D86">
        <v>0</v>
      </c>
    </row>
    <row r="87" spans="1:4" x14ac:dyDescent="0.35">
      <c r="A87" s="2">
        <v>44958</v>
      </c>
      <c r="B87" t="s">
        <v>24</v>
      </c>
      <c r="C87" t="s">
        <v>26</v>
      </c>
      <c r="D87">
        <v>0</v>
      </c>
    </row>
    <row r="88" spans="1:4" x14ac:dyDescent="0.35">
      <c r="A88" s="2">
        <v>44621</v>
      </c>
      <c r="B88" t="s">
        <v>24</v>
      </c>
      <c r="C88" t="s">
        <v>26</v>
      </c>
      <c r="D88">
        <v>0</v>
      </c>
    </row>
    <row r="89" spans="1:4" x14ac:dyDescent="0.35">
      <c r="A89" s="2">
        <v>44621</v>
      </c>
      <c r="B89" t="s">
        <v>24</v>
      </c>
      <c r="C89" t="s">
        <v>29</v>
      </c>
      <c r="D89">
        <v>0</v>
      </c>
    </row>
    <row r="90" spans="1:4" x14ac:dyDescent="0.35">
      <c r="A90" s="2">
        <v>44287</v>
      </c>
      <c r="B90" t="s">
        <v>24</v>
      </c>
      <c r="C90" t="s">
        <v>31</v>
      </c>
      <c r="D90">
        <v>322</v>
      </c>
    </row>
    <row r="91" spans="1:4" x14ac:dyDescent="0.35">
      <c r="A91" s="2">
        <v>44287</v>
      </c>
      <c r="B91" t="s">
        <v>24</v>
      </c>
      <c r="C91" t="s">
        <v>32</v>
      </c>
      <c r="D91">
        <v>118</v>
      </c>
    </row>
    <row r="92" spans="1:4" x14ac:dyDescent="0.35">
      <c r="A92" s="2">
        <v>44287</v>
      </c>
      <c r="B92" t="s">
        <v>24</v>
      </c>
      <c r="C92" t="s">
        <v>33</v>
      </c>
      <c r="D92">
        <v>171</v>
      </c>
    </row>
    <row r="93" spans="1:4" x14ac:dyDescent="0.35">
      <c r="A93" s="2">
        <v>44287</v>
      </c>
      <c r="B93" t="s">
        <v>24</v>
      </c>
      <c r="C93" t="s">
        <v>34</v>
      </c>
      <c r="D93">
        <v>12</v>
      </c>
    </row>
    <row r="94" spans="1:4" x14ac:dyDescent="0.35">
      <c r="A94" s="2">
        <v>44287</v>
      </c>
      <c r="B94" t="s">
        <v>24</v>
      </c>
      <c r="C94" t="s">
        <v>30</v>
      </c>
      <c r="D94">
        <v>3</v>
      </c>
    </row>
    <row r="95" spans="1:4" x14ac:dyDescent="0.35">
      <c r="A95" s="2">
        <v>44652</v>
      </c>
      <c r="B95" t="s">
        <v>24</v>
      </c>
      <c r="C95" t="s">
        <v>31</v>
      </c>
      <c r="D95">
        <v>1409</v>
      </c>
    </row>
    <row r="96" spans="1:4" x14ac:dyDescent="0.35">
      <c r="A96" s="2">
        <v>44652</v>
      </c>
      <c r="B96" t="s">
        <v>24</v>
      </c>
      <c r="C96" t="s">
        <v>32</v>
      </c>
      <c r="D96">
        <v>177</v>
      </c>
    </row>
    <row r="97" spans="1:4" x14ac:dyDescent="0.35">
      <c r="A97" s="2">
        <v>44652</v>
      </c>
      <c r="B97" t="s">
        <v>24</v>
      </c>
      <c r="C97" t="s">
        <v>33</v>
      </c>
      <c r="D97">
        <v>611</v>
      </c>
    </row>
    <row r="98" spans="1:4" x14ac:dyDescent="0.35">
      <c r="A98" s="2">
        <v>44652</v>
      </c>
      <c r="B98" t="s">
        <v>24</v>
      </c>
      <c r="C98" t="s">
        <v>25</v>
      </c>
      <c r="D98">
        <v>15</v>
      </c>
    </row>
    <row r="99" spans="1:4" x14ac:dyDescent="0.35">
      <c r="A99" s="2">
        <v>44652</v>
      </c>
      <c r="B99" t="s">
        <v>24</v>
      </c>
      <c r="C99" t="s">
        <v>34</v>
      </c>
      <c r="D99">
        <v>17</v>
      </c>
    </row>
    <row r="100" spans="1:4" x14ac:dyDescent="0.35">
      <c r="A100" s="2">
        <v>44652</v>
      </c>
      <c r="B100" t="s">
        <v>24</v>
      </c>
      <c r="C100" t="s">
        <v>27</v>
      </c>
      <c r="D100">
        <v>12</v>
      </c>
    </row>
    <row r="101" spans="1:4" x14ac:dyDescent="0.35">
      <c r="A101" s="2">
        <v>44652</v>
      </c>
      <c r="B101" t="s">
        <v>24</v>
      </c>
      <c r="C101" t="s">
        <v>30</v>
      </c>
      <c r="D101">
        <v>8</v>
      </c>
    </row>
    <row r="102" spans="1:4" x14ac:dyDescent="0.35">
      <c r="A102" s="2">
        <v>45017</v>
      </c>
      <c r="B102" t="s">
        <v>24</v>
      </c>
      <c r="C102" t="s">
        <v>31</v>
      </c>
      <c r="D102">
        <v>364</v>
      </c>
    </row>
    <row r="103" spans="1:4" x14ac:dyDescent="0.35">
      <c r="A103" s="2">
        <v>45017</v>
      </c>
      <c r="B103" t="s">
        <v>24</v>
      </c>
      <c r="C103" t="s">
        <v>32</v>
      </c>
      <c r="D103">
        <v>265</v>
      </c>
    </row>
    <row r="104" spans="1:4" x14ac:dyDescent="0.35">
      <c r="A104" s="2">
        <v>45017</v>
      </c>
      <c r="B104" t="s">
        <v>24</v>
      </c>
      <c r="C104" t="s">
        <v>33</v>
      </c>
      <c r="D104">
        <v>4880</v>
      </c>
    </row>
    <row r="105" spans="1:4" x14ac:dyDescent="0.35">
      <c r="A105" s="2">
        <v>45017</v>
      </c>
      <c r="B105" t="s">
        <v>24</v>
      </c>
      <c r="C105" t="s">
        <v>25</v>
      </c>
      <c r="D105">
        <v>156</v>
      </c>
    </row>
    <row r="106" spans="1:4" x14ac:dyDescent="0.35">
      <c r="A106" s="2">
        <v>45017</v>
      </c>
      <c r="B106" t="s">
        <v>24</v>
      </c>
      <c r="C106" t="s">
        <v>34</v>
      </c>
      <c r="D106">
        <v>42</v>
      </c>
    </row>
    <row r="107" spans="1:4" x14ac:dyDescent="0.35">
      <c r="A107" s="2">
        <v>45017</v>
      </c>
      <c r="B107" t="s">
        <v>24</v>
      </c>
      <c r="C107" t="s">
        <v>26</v>
      </c>
      <c r="D107">
        <v>181</v>
      </c>
    </row>
    <row r="108" spans="1:4" x14ac:dyDescent="0.35">
      <c r="A108" s="2">
        <v>45017</v>
      </c>
      <c r="B108" t="s">
        <v>24</v>
      </c>
      <c r="C108" t="s">
        <v>27</v>
      </c>
      <c r="D108">
        <v>51</v>
      </c>
    </row>
    <row r="109" spans="1:4" x14ac:dyDescent="0.35">
      <c r="A109" s="2">
        <v>45017</v>
      </c>
      <c r="B109" t="s">
        <v>24</v>
      </c>
      <c r="C109" t="s">
        <v>30</v>
      </c>
      <c r="D109">
        <v>8</v>
      </c>
    </row>
    <row r="110" spans="1:4" x14ac:dyDescent="0.35">
      <c r="A110" s="2">
        <v>45017</v>
      </c>
      <c r="B110" t="s">
        <v>24</v>
      </c>
      <c r="C110" t="s">
        <v>28</v>
      </c>
      <c r="D110">
        <v>27</v>
      </c>
    </row>
    <row r="111" spans="1:4" x14ac:dyDescent="0.35">
      <c r="A111" s="2">
        <v>45017</v>
      </c>
      <c r="B111" t="s">
        <v>24</v>
      </c>
      <c r="C111" t="s">
        <v>29</v>
      </c>
      <c r="D111">
        <v>30</v>
      </c>
    </row>
    <row r="112" spans="1:4" x14ac:dyDescent="0.35">
      <c r="A112" s="2">
        <v>44317</v>
      </c>
      <c r="B112" t="s">
        <v>24</v>
      </c>
      <c r="C112" t="s">
        <v>31</v>
      </c>
      <c r="D112">
        <v>137</v>
      </c>
    </row>
    <row r="113" spans="1:4" x14ac:dyDescent="0.35">
      <c r="A113" s="2">
        <v>44317</v>
      </c>
      <c r="B113" t="s">
        <v>24</v>
      </c>
      <c r="C113" t="s">
        <v>32</v>
      </c>
      <c r="D113">
        <v>39</v>
      </c>
    </row>
    <row r="114" spans="1:4" x14ac:dyDescent="0.35">
      <c r="A114" s="2">
        <v>44317</v>
      </c>
      <c r="B114" t="s">
        <v>24</v>
      </c>
      <c r="C114" t="s">
        <v>33</v>
      </c>
      <c r="D114">
        <v>78</v>
      </c>
    </row>
    <row r="115" spans="1:4" x14ac:dyDescent="0.35">
      <c r="A115" s="2">
        <v>44317</v>
      </c>
      <c r="B115" t="s">
        <v>24</v>
      </c>
      <c r="C115" t="s">
        <v>34</v>
      </c>
      <c r="D115">
        <v>3</v>
      </c>
    </row>
    <row r="116" spans="1:4" x14ac:dyDescent="0.35">
      <c r="A116" s="2">
        <v>44682</v>
      </c>
      <c r="B116" t="s">
        <v>24</v>
      </c>
      <c r="C116" t="s">
        <v>31</v>
      </c>
      <c r="D116">
        <v>2097</v>
      </c>
    </row>
    <row r="117" spans="1:4" x14ac:dyDescent="0.35">
      <c r="A117" s="2">
        <v>44682</v>
      </c>
      <c r="B117" t="s">
        <v>24</v>
      </c>
      <c r="C117" t="s">
        <v>32</v>
      </c>
      <c r="D117">
        <v>181</v>
      </c>
    </row>
    <row r="118" spans="1:4" x14ac:dyDescent="0.35">
      <c r="A118" s="2">
        <v>44682</v>
      </c>
      <c r="B118" t="s">
        <v>24</v>
      </c>
      <c r="C118" t="s">
        <v>33</v>
      </c>
      <c r="D118">
        <v>622</v>
      </c>
    </row>
    <row r="119" spans="1:4" x14ac:dyDescent="0.35">
      <c r="A119" s="2">
        <v>44682</v>
      </c>
      <c r="B119" t="s">
        <v>24</v>
      </c>
      <c r="C119" t="s">
        <v>25</v>
      </c>
      <c r="D119">
        <v>30</v>
      </c>
    </row>
    <row r="120" spans="1:4" x14ac:dyDescent="0.35">
      <c r="A120" s="2">
        <v>44682</v>
      </c>
      <c r="B120" t="s">
        <v>24</v>
      </c>
      <c r="C120" t="s">
        <v>34</v>
      </c>
      <c r="D120">
        <v>19</v>
      </c>
    </row>
    <row r="121" spans="1:4" x14ac:dyDescent="0.35">
      <c r="A121" s="2">
        <v>44682</v>
      </c>
      <c r="B121" t="s">
        <v>24</v>
      </c>
      <c r="C121" t="s">
        <v>27</v>
      </c>
      <c r="D121">
        <v>6</v>
      </c>
    </row>
    <row r="122" spans="1:4" x14ac:dyDescent="0.35">
      <c r="A122" s="2">
        <v>44682</v>
      </c>
      <c r="B122" t="s">
        <v>24</v>
      </c>
      <c r="C122" t="s">
        <v>30</v>
      </c>
      <c r="D122">
        <v>4</v>
      </c>
    </row>
    <row r="123" spans="1:4" x14ac:dyDescent="0.35">
      <c r="A123" s="2">
        <v>45047</v>
      </c>
      <c r="B123" t="s">
        <v>24</v>
      </c>
      <c r="C123" t="s">
        <v>31</v>
      </c>
      <c r="D123">
        <v>3212</v>
      </c>
    </row>
    <row r="124" spans="1:4" x14ac:dyDescent="0.35">
      <c r="A124" s="2">
        <v>45047</v>
      </c>
      <c r="B124" t="s">
        <v>24</v>
      </c>
      <c r="C124" t="s">
        <v>32</v>
      </c>
      <c r="D124">
        <v>351</v>
      </c>
    </row>
    <row r="125" spans="1:4" x14ac:dyDescent="0.35">
      <c r="A125" s="2">
        <v>45047</v>
      </c>
      <c r="B125" t="s">
        <v>24</v>
      </c>
      <c r="C125" t="s">
        <v>33</v>
      </c>
      <c r="D125">
        <v>3457</v>
      </c>
    </row>
    <row r="126" spans="1:4" x14ac:dyDescent="0.35">
      <c r="A126" s="2">
        <v>45047</v>
      </c>
      <c r="B126" t="s">
        <v>24</v>
      </c>
      <c r="C126" t="s">
        <v>25</v>
      </c>
      <c r="D126">
        <v>110</v>
      </c>
    </row>
    <row r="127" spans="1:4" x14ac:dyDescent="0.35">
      <c r="A127" s="2">
        <v>45047</v>
      </c>
      <c r="B127" t="s">
        <v>24</v>
      </c>
      <c r="C127" t="s">
        <v>34</v>
      </c>
      <c r="D127">
        <v>129</v>
      </c>
    </row>
    <row r="128" spans="1:4" x14ac:dyDescent="0.35">
      <c r="A128" s="2">
        <v>45047</v>
      </c>
      <c r="B128" t="s">
        <v>24</v>
      </c>
      <c r="C128" t="s">
        <v>26</v>
      </c>
      <c r="D128">
        <v>245</v>
      </c>
    </row>
    <row r="129" spans="1:4" x14ac:dyDescent="0.35">
      <c r="A129" s="2">
        <v>45047</v>
      </c>
      <c r="B129" t="s">
        <v>24</v>
      </c>
      <c r="C129" t="s">
        <v>27</v>
      </c>
      <c r="D129">
        <v>57</v>
      </c>
    </row>
    <row r="130" spans="1:4" x14ac:dyDescent="0.35">
      <c r="A130" s="2">
        <v>45047</v>
      </c>
      <c r="B130" t="s">
        <v>24</v>
      </c>
      <c r="C130" t="s">
        <v>30</v>
      </c>
      <c r="D130">
        <v>9</v>
      </c>
    </row>
    <row r="131" spans="1:4" x14ac:dyDescent="0.35">
      <c r="A131" s="2">
        <v>45047</v>
      </c>
      <c r="B131" t="s">
        <v>24</v>
      </c>
      <c r="C131" t="s">
        <v>28</v>
      </c>
      <c r="D131">
        <v>34</v>
      </c>
    </row>
    <row r="132" spans="1:4" x14ac:dyDescent="0.35">
      <c r="A132" s="2">
        <v>45047</v>
      </c>
      <c r="B132" t="s">
        <v>24</v>
      </c>
      <c r="C132" t="s">
        <v>29</v>
      </c>
      <c r="D132">
        <v>36</v>
      </c>
    </row>
    <row r="133" spans="1:4" x14ac:dyDescent="0.35">
      <c r="A133" s="2">
        <v>44348</v>
      </c>
      <c r="B133" t="s">
        <v>24</v>
      </c>
      <c r="C133" t="s">
        <v>31</v>
      </c>
      <c r="D133">
        <v>572</v>
      </c>
    </row>
    <row r="134" spans="1:4" x14ac:dyDescent="0.35">
      <c r="A134" s="2">
        <v>44348</v>
      </c>
      <c r="B134" t="s">
        <v>24</v>
      </c>
      <c r="C134" t="s">
        <v>32</v>
      </c>
      <c r="D134">
        <v>128</v>
      </c>
    </row>
    <row r="135" spans="1:4" x14ac:dyDescent="0.35">
      <c r="A135" s="2">
        <v>44348</v>
      </c>
      <c r="B135" t="s">
        <v>24</v>
      </c>
      <c r="C135" t="s">
        <v>33</v>
      </c>
      <c r="D135">
        <v>106</v>
      </c>
    </row>
    <row r="136" spans="1:4" x14ac:dyDescent="0.35">
      <c r="A136" s="2">
        <v>44348</v>
      </c>
      <c r="B136" t="s">
        <v>24</v>
      </c>
      <c r="C136" t="s">
        <v>34</v>
      </c>
      <c r="D136">
        <v>10</v>
      </c>
    </row>
    <row r="137" spans="1:4" x14ac:dyDescent="0.35">
      <c r="A137" s="2">
        <v>44348</v>
      </c>
      <c r="B137" t="s">
        <v>24</v>
      </c>
      <c r="C137" t="s">
        <v>30</v>
      </c>
      <c r="D137">
        <v>2</v>
      </c>
    </row>
    <row r="138" spans="1:4" x14ac:dyDescent="0.35">
      <c r="A138" s="2">
        <v>44713</v>
      </c>
      <c r="B138" t="s">
        <v>24</v>
      </c>
      <c r="C138" t="s">
        <v>31</v>
      </c>
      <c r="D138">
        <v>2169</v>
      </c>
    </row>
    <row r="139" spans="1:4" x14ac:dyDescent="0.35">
      <c r="A139" s="2">
        <v>44713</v>
      </c>
      <c r="B139" t="s">
        <v>24</v>
      </c>
      <c r="C139" t="s">
        <v>32</v>
      </c>
      <c r="D139">
        <v>173</v>
      </c>
    </row>
    <row r="140" spans="1:4" x14ac:dyDescent="0.35">
      <c r="A140" s="2">
        <v>44713</v>
      </c>
      <c r="B140" t="s">
        <v>24</v>
      </c>
      <c r="C140" t="s">
        <v>33</v>
      </c>
      <c r="D140">
        <v>787</v>
      </c>
    </row>
    <row r="141" spans="1:4" x14ac:dyDescent="0.35">
      <c r="A141" s="2">
        <v>44713</v>
      </c>
      <c r="B141" t="s">
        <v>24</v>
      </c>
      <c r="C141" t="s">
        <v>25</v>
      </c>
      <c r="D141">
        <v>36</v>
      </c>
    </row>
    <row r="142" spans="1:4" x14ac:dyDescent="0.35">
      <c r="A142" s="2">
        <v>44713</v>
      </c>
      <c r="B142" t="s">
        <v>24</v>
      </c>
      <c r="C142" t="s">
        <v>34</v>
      </c>
      <c r="D142">
        <v>39</v>
      </c>
    </row>
    <row r="143" spans="1:4" x14ac:dyDescent="0.35">
      <c r="A143" s="2">
        <v>44713</v>
      </c>
      <c r="B143" t="s">
        <v>24</v>
      </c>
      <c r="C143" t="s">
        <v>27</v>
      </c>
      <c r="D143">
        <v>4</v>
      </c>
    </row>
    <row r="144" spans="1:4" x14ac:dyDescent="0.35">
      <c r="A144" s="2">
        <v>44713</v>
      </c>
      <c r="B144" t="s">
        <v>24</v>
      </c>
      <c r="C144" t="s">
        <v>30</v>
      </c>
      <c r="D144">
        <v>2</v>
      </c>
    </row>
    <row r="145" spans="1:4" x14ac:dyDescent="0.35">
      <c r="A145" s="2">
        <v>45078</v>
      </c>
      <c r="B145" t="s">
        <v>24</v>
      </c>
      <c r="C145" t="s">
        <v>31</v>
      </c>
      <c r="D145">
        <v>3671</v>
      </c>
    </row>
    <row r="146" spans="1:4" x14ac:dyDescent="0.35">
      <c r="A146" s="2">
        <v>45078</v>
      </c>
      <c r="B146" t="s">
        <v>24</v>
      </c>
      <c r="C146" t="s">
        <v>32</v>
      </c>
      <c r="D146">
        <v>877</v>
      </c>
    </row>
    <row r="147" spans="1:4" x14ac:dyDescent="0.35">
      <c r="A147" s="2">
        <v>45078</v>
      </c>
      <c r="B147" t="s">
        <v>24</v>
      </c>
      <c r="C147" t="s">
        <v>33</v>
      </c>
      <c r="D147">
        <v>2574</v>
      </c>
    </row>
    <row r="148" spans="1:4" x14ac:dyDescent="0.35">
      <c r="A148" s="2">
        <v>45078</v>
      </c>
      <c r="B148" t="s">
        <v>24</v>
      </c>
      <c r="C148" t="s">
        <v>25</v>
      </c>
      <c r="D148">
        <v>140</v>
      </c>
    </row>
    <row r="149" spans="1:4" x14ac:dyDescent="0.35">
      <c r="A149" s="2">
        <v>45078</v>
      </c>
      <c r="B149" t="s">
        <v>24</v>
      </c>
      <c r="C149" t="s">
        <v>34</v>
      </c>
      <c r="D149">
        <v>121</v>
      </c>
    </row>
    <row r="150" spans="1:4" x14ac:dyDescent="0.35">
      <c r="A150" s="2">
        <v>45078</v>
      </c>
      <c r="B150" t="s">
        <v>24</v>
      </c>
      <c r="C150" t="s">
        <v>26</v>
      </c>
      <c r="D150">
        <v>254</v>
      </c>
    </row>
    <row r="151" spans="1:4" x14ac:dyDescent="0.35">
      <c r="A151" s="2">
        <v>45078</v>
      </c>
      <c r="B151" t="s">
        <v>24</v>
      </c>
      <c r="C151" t="s">
        <v>27</v>
      </c>
      <c r="D151">
        <v>76</v>
      </c>
    </row>
    <row r="152" spans="1:4" x14ac:dyDescent="0.35">
      <c r="A152" s="2">
        <v>45078</v>
      </c>
      <c r="B152" t="s">
        <v>24</v>
      </c>
      <c r="C152" t="s">
        <v>30</v>
      </c>
      <c r="D152">
        <v>14</v>
      </c>
    </row>
    <row r="153" spans="1:4" x14ac:dyDescent="0.35">
      <c r="A153" s="2">
        <v>45078</v>
      </c>
      <c r="B153" t="s">
        <v>24</v>
      </c>
      <c r="C153" t="s">
        <v>28</v>
      </c>
      <c r="D153">
        <v>33</v>
      </c>
    </row>
    <row r="154" spans="1:4" x14ac:dyDescent="0.35">
      <c r="A154" s="2">
        <v>45078</v>
      </c>
      <c r="B154" t="s">
        <v>24</v>
      </c>
      <c r="C154" t="s">
        <v>29</v>
      </c>
      <c r="D154">
        <v>30</v>
      </c>
    </row>
    <row r="155" spans="1:4" x14ac:dyDescent="0.35">
      <c r="A155" s="2">
        <v>44378</v>
      </c>
      <c r="B155" t="s">
        <v>24</v>
      </c>
      <c r="C155" t="s">
        <v>31</v>
      </c>
      <c r="D155">
        <v>696</v>
      </c>
    </row>
    <row r="156" spans="1:4" x14ac:dyDescent="0.35">
      <c r="A156" s="2">
        <v>44378</v>
      </c>
      <c r="B156" t="s">
        <v>24</v>
      </c>
      <c r="C156" t="s">
        <v>32</v>
      </c>
      <c r="D156">
        <v>232</v>
      </c>
    </row>
    <row r="157" spans="1:4" x14ac:dyDescent="0.35">
      <c r="A157" s="2">
        <v>44378</v>
      </c>
      <c r="B157" t="s">
        <v>24</v>
      </c>
      <c r="C157" t="s">
        <v>33</v>
      </c>
      <c r="D157">
        <v>171</v>
      </c>
    </row>
    <row r="158" spans="1:4" x14ac:dyDescent="0.35">
      <c r="A158" s="2">
        <v>44378</v>
      </c>
      <c r="B158" t="s">
        <v>24</v>
      </c>
      <c r="C158" t="s">
        <v>34</v>
      </c>
      <c r="D158">
        <v>18</v>
      </c>
    </row>
    <row r="159" spans="1:4" x14ac:dyDescent="0.35">
      <c r="A159" s="2">
        <v>44378</v>
      </c>
      <c r="B159" t="s">
        <v>24</v>
      </c>
      <c r="C159" t="s">
        <v>30</v>
      </c>
      <c r="D159">
        <v>1</v>
      </c>
    </row>
    <row r="160" spans="1:4" x14ac:dyDescent="0.35">
      <c r="A160" s="2">
        <v>44743</v>
      </c>
      <c r="B160" t="s">
        <v>24</v>
      </c>
      <c r="C160" t="s">
        <v>31</v>
      </c>
      <c r="D160">
        <v>2264</v>
      </c>
    </row>
    <row r="161" spans="1:4" x14ac:dyDescent="0.35">
      <c r="A161" s="2">
        <v>44743</v>
      </c>
      <c r="B161" t="s">
        <v>24</v>
      </c>
      <c r="C161" t="s">
        <v>32</v>
      </c>
      <c r="D161">
        <v>194</v>
      </c>
    </row>
    <row r="162" spans="1:4" x14ac:dyDescent="0.35">
      <c r="A162" s="2">
        <v>44743</v>
      </c>
      <c r="B162" t="s">
        <v>24</v>
      </c>
      <c r="C162" t="s">
        <v>33</v>
      </c>
      <c r="D162">
        <v>866</v>
      </c>
    </row>
    <row r="163" spans="1:4" x14ac:dyDescent="0.35">
      <c r="A163" s="2">
        <v>44743</v>
      </c>
      <c r="B163" t="s">
        <v>24</v>
      </c>
      <c r="C163" t="s">
        <v>25</v>
      </c>
      <c r="D163">
        <v>32</v>
      </c>
    </row>
    <row r="164" spans="1:4" x14ac:dyDescent="0.35">
      <c r="A164" s="2">
        <v>44743</v>
      </c>
      <c r="B164" t="s">
        <v>24</v>
      </c>
      <c r="C164" t="s">
        <v>34</v>
      </c>
      <c r="D164">
        <v>45</v>
      </c>
    </row>
    <row r="165" spans="1:4" x14ac:dyDescent="0.35">
      <c r="A165" s="2">
        <v>44743</v>
      </c>
      <c r="B165" t="s">
        <v>24</v>
      </c>
      <c r="C165" t="s">
        <v>27</v>
      </c>
      <c r="D165">
        <v>4</v>
      </c>
    </row>
    <row r="166" spans="1:4" x14ac:dyDescent="0.35">
      <c r="A166" s="2">
        <v>44743</v>
      </c>
      <c r="B166" t="s">
        <v>24</v>
      </c>
      <c r="C166" t="s">
        <v>30</v>
      </c>
      <c r="D166">
        <v>1</v>
      </c>
    </row>
    <row r="167" spans="1:4" x14ac:dyDescent="0.35">
      <c r="A167" s="2">
        <v>45108</v>
      </c>
      <c r="B167" t="s">
        <v>24</v>
      </c>
      <c r="C167" t="s">
        <v>31</v>
      </c>
      <c r="D167">
        <v>3823</v>
      </c>
    </row>
    <row r="168" spans="1:4" x14ac:dyDescent="0.35">
      <c r="A168" s="2">
        <v>45108</v>
      </c>
      <c r="B168" t="s">
        <v>24</v>
      </c>
      <c r="C168" t="s">
        <v>32</v>
      </c>
      <c r="D168">
        <v>935</v>
      </c>
    </row>
    <row r="169" spans="1:4" x14ac:dyDescent="0.35">
      <c r="A169" s="2">
        <v>45108</v>
      </c>
      <c r="B169" t="s">
        <v>24</v>
      </c>
      <c r="C169" t="s">
        <v>33</v>
      </c>
      <c r="D169">
        <v>2174</v>
      </c>
    </row>
    <row r="170" spans="1:4" x14ac:dyDescent="0.35">
      <c r="A170" s="2">
        <v>45108</v>
      </c>
      <c r="B170" t="s">
        <v>24</v>
      </c>
      <c r="C170" t="s">
        <v>25</v>
      </c>
      <c r="D170">
        <v>89</v>
      </c>
    </row>
    <row r="171" spans="1:4" x14ac:dyDescent="0.35">
      <c r="A171" s="2">
        <v>45108</v>
      </c>
      <c r="B171" t="s">
        <v>24</v>
      </c>
      <c r="C171" t="s">
        <v>34</v>
      </c>
      <c r="D171">
        <v>88</v>
      </c>
    </row>
    <row r="172" spans="1:4" x14ac:dyDescent="0.35">
      <c r="A172" s="2">
        <v>45108</v>
      </c>
      <c r="B172" t="s">
        <v>24</v>
      </c>
      <c r="C172" t="s">
        <v>26</v>
      </c>
      <c r="D172">
        <v>169</v>
      </c>
    </row>
    <row r="173" spans="1:4" x14ac:dyDescent="0.35">
      <c r="A173" s="2">
        <v>45108</v>
      </c>
      <c r="B173" t="s">
        <v>24</v>
      </c>
      <c r="C173" t="s">
        <v>27</v>
      </c>
      <c r="D173">
        <v>81</v>
      </c>
    </row>
    <row r="174" spans="1:4" x14ac:dyDescent="0.35">
      <c r="A174" s="2">
        <v>45108</v>
      </c>
      <c r="B174" t="s">
        <v>24</v>
      </c>
      <c r="C174" t="s">
        <v>30</v>
      </c>
      <c r="D174">
        <v>23</v>
      </c>
    </row>
    <row r="175" spans="1:4" x14ac:dyDescent="0.35">
      <c r="A175" s="2">
        <v>45108</v>
      </c>
      <c r="B175" t="s">
        <v>24</v>
      </c>
      <c r="C175" t="s">
        <v>28</v>
      </c>
      <c r="D175">
        <v>26</v>
      </c>
    </row>
    <row r="176" spans="1:4" x14ac:dyDescent="0.35">
      <c r="A176" s="2">
        <v>45108</v>
      </c>
      <c r="B176" t="s">
        <v>24</v>
      </c>
      <c r="C176" t="s">
        <v>29</v>
      </c>
      <c r="D176">
        <v>22</v>
      </c>
    </row>
    <row r="177" spans="1:4" x14ac:dyDescent="0.35">
      <c r="A177" s="2">
        <v>44409</v>
      </c>
      <c r="B177" t="s">
        <v>24</v>
      </c>
      <c r="C177" t="s">
        <v>31</v>
      </c>
      <c r="D177">
        <v>584</v>
      </c>
    </row>
    <row r="178" spans="1:4" x14ac:dyDescent="0.35">
      <c r="A178" s="2">
        <v>44409</v>
      </c>
      <c r="B178" t="s">
        <v>24</v>
      </c>
      <c r="C178" t="s">
        <v>32</v>
      </c>
      <c r="D178">
        <v>303</v>
      </c>
    </row>
    <row r="179" spans="1:4" x14ac:dyDescent="0.35">
      <c r="A179" s="2">
        <v>44409</v>
      </c>
      <c r="B179" t="s">
        <v>24</v>
      </c>
      <c r="C179" t="s">
        <v>33</v>
      </c>
      <c r="D179">
        <v>204</v>
      </c>
    </row>
    <row r="180" spans="1:4" x14ac:dyDescent="0.35">
      <c r="A180" s="2">
        <v>44409</v>
      </c>
      <c r="B180" t="s">
        <v>24</v>
      </c>
      <c r="C180" t="s">
        <v>34</v>
      </c>
      <c r="D180">
        <v>10</v>
      </c>
    </row>
    <row r="181" spans="1:4" x14ac:dyDescent="0.35">
      <c r="A181" s="2">
        <v>44409</v>
      </c>
      <c r="B181" t="s">
        <v>24</v>
      </c>
      <c r="C181" t="s">
        <v>30</v>
      </c>
      <c r="D181">
        <v>2</v>
      </c>
    </row>
    <row r="182" spans="1:4" x14ac:dyDescent="0.35">
      <c r="A182" s="2">
        <v>44774</v>
      </c>
      <c r="B182" t="s">
        <v>24</v>
      </c>
      <c r="C182" t="s">
        <v>31</v>
      </c>
      <c r="D182">
        <v>1931</v>
      </c>
    </row>
    <row r="183" spans="1:4" x14ac:dyDescent="0.35">
      <c r="A183" s="2">
        <v>44774</v>
      </c>
      <c r="B183" t="s">
        <v>24</v>
      </c>
      <c r="C183" t="s">
        <v>32</v>
      </c>
      <c r="D183">
        <v>234</v>
      </c>
    </row>
    <row r="184" spans="1:4" x14ac:dyDescent="0.35">
      <c r="A184" s="2">
        <v>44774</v>
      </c>
      <c r="B184" t="s">
        <v>24</v>
      </c>
      <c r="C184" t="s">
        <v>33</v>
      </c>
      <c r="D184">
        <v>1085</v>
      </c>
    </row>
    <row r="185" spans="1:4" x14ac:dyDescent="0.35">
      <c r="A185" s="2">
        <v>44774</v>
      </c>
      <c r="B185" t="s">
        <v>24</v>
      </c>
      <c r="C185" t="s">
        <v>25</v>
      </c>
      <c r="D185">
        <v>33</v>
      </c>
    </row>
    <row r="186" spans="1:4" x14ac:dyDescent="0.35">
      <c r="A186" s="2">
        <v>44774</v>
      </c>
      <c r="B186" t="s">
        <v>24</v>
      </c>
      <c r="C186" t="s">
        <v>34</v>
      </c>
      <c r="D186">
        <v>53</v>
      </c>
    </row>
    <row r="187" spans="1:4" x14ac:dyDescent="0.35">
      <c r="A187" s="2">
        <v>44774</v>
      </c>
      <c r="B187" t="s">
        <v>24</v>
      </c>
      <c r="C187" t="s">
        <v>27</v>
      </c>
      <c r="D187">
        <v>19</v>
      </c>
    </row>
    <row r="188" spans="1:4" x14ac:dyDescent="0.35">
      <c r="A188" s="2">
        <v>44774</v>
      </c>
      <c r="B188" t="s">
        <v>24</v>
      </c>
      <c r="C188" t="s">
        <v>30</v>
      </c>
      <c r="D188">
        <v>3</v>
      </c>
    </row>
    <row r="189" spans="1:4" x14ac:dyDescent="0.35">
      <c r="A189" s="2">
        <v>45139</v>
      </c>
      <c r="B189" t="s">
        <v>24</v>
      </c>
      <c r="C189" t="s">
        <v>31</v>
      </c>
      <c r="D189">
        <v>3388</v>
      </c>
    </row>
    <row r="190" spans="1:4" x14ac:dyDescent="0.35">
      <c r="A190" s="2">
        <v>45139</v>
      </c>
      <c r="B190" t="s">
        <v>24</v>
      </c>
      <c r="C190" t="s">
        <v>32</v>
      </c>
      <c r="D190">
        <v>913</v>
      </c>
    </row>
    <row r="191" spans="1:4" x14ac:dyDescent="0.35">
      <c r="A191" s="2">
        <v>45139</v>
      </c>
      <c r="B191" t="s">
        <v>24</v>
      </c>
      <c r="C191" t="s">
        <v>33</v>
      </c>
      <c r="D191">
        <v>2013</v>
      </c>
    </row>
    <row r="192" spans="1:4" x14ac:dyDescent="0.35">
      <c r="A192" s="2">
        <v>45139</v>
      </c>
      <c r="B192" t="s">
        <v>24</v>
      </c>
      <c r="C192" t="s">
        <v>25</v>
      </c>
      <c r="D192">
        <v>80</v>
      </c>
    </row>
    <row r="193" spans="1:4" x14ac:dyDescent="0.35">
      <c r="A193" s="2">
        <v>45139</v>
      </c>
      <c r="B193" t="s">
        <v>24</v>
      </c>
      <c r="C193" t="s">
        <v>34</v>
      </c>
      <c r="D193">
        <v>141</v>
      </c>
    </row>
    <row r="194" spans="1:4" x14ac:dyDescent="0.35">
      <c r="A194" s="2">
        <v>45139</v>
      </c>
      <c r="B194" t="s">
        <v>24</v>
      </c>
      <c r="C194" t="s">
        <v>26</v>
      </c>
      <c r="D194">
        <v>89</v>
      </c>
    </row>
    <row r="195" spans="1:4" x14ac:dyDescent="0.35">
      <c r="A195" s="2">
        <v>45139</v>
      </c>
      <c r="B195" t="s">
        <v>24</v>
      </c>
      <c r="C195" t="s">
        <v>27</v>
      </c>
      <c r="D195">
        <v>64</v>
      </c>
    </row>
    <row r="196" spans="1:4" x14ac:dyDescent="0.35">
      <c r="A196" s="2">
        <v>45139</v>
      </c>
      <c r="B196" t="s">
        <v>24</v>
      </c>
      <c r="C196" t="s">
        <v>30</v>
      </c>
      <c r="D196">
        <v>8</v>
      </c>
    </row>
    <row r="197" spans="1:4" x14ac:dyDescent="0.35">
      <c r="A197" s="2">
        <v>45139</v>
      </c>
      <c r="B197" t="s">
        <v>24</v>
      </c>
      <c r="C197" t="s">
        <v>28</v>
      </c>
      <c r="D197">
        <v>36</v>
      </c>
    </row>
    <row r="198" spans="1:4" x14ac:dyDescent="0.35">
      <c r="A198" s="2">
        <v>45139</v>
      </c>
      <c r="B198" t="s">
        <v>24</v>
      </c>
      <c r="C198" t="s">
        <v>29</v>
      </c>
      <c r="D198">
        <v>21</v>
      </c>
    </row>
    <row r="199" spans="1:4" x14ac:dyDescent="0.35">
      <c r="A199" s="2">
        <v>44440</v>
      </c>
      <c r="B199" t="s">
        <v>24</v>
      </c>
      <c r="C199" t="s">
        <v>31</v>
      </c>
      <c r="D199">
        <v>772</v>
      </c>
    </row>
    <row r="200" spans="1:4" x14ac:dyDescent="0.35">
      <c r="A200" s="2">
        <v>44440</v>
      </c>
      <c r="B200" t="s">
        <v>24</v>
      </c>
      <c r="C200" t="s">
        <v>32</v>
      </c>
      <c r="D200">
        <v>263</v>
      </c>
    </row>
    <row r="201" spans="1:4" x14ac:dyDescent="0.35">
      <c r="A201" s="2">
        <v>44440</v>
      </c>
      <c r="B201" t="s">
        <v>24</v>
      </c>
      <c r="C201" t="s">
        <v>33</v>
      </c>
      <c r="D201">
        <v>276</v>
      </c>
    </row>
    <row r="202" spans="1:4" x14ac:dyDescent="0.35">
      <c r="A202" s="2">
        <v>44440</v>
      </c>
      <c r="B202" t="s">
        <v>24</v>
      </c>
      <c r="C202" t="s">
        <v>34</v>
      </c>
      <c r="D202">
        <v>6</v>
      </c>
    </row>
    <row r="203" spans="1:4" x14ac:dyDescent="0.35">
      <c r="A203" s="2">
        <v>44440</v>
      </c>
      <c r="B203" t="s">
        <v>24</v>
      </c>
      <c r="C203" t="s">
        <v>30</v>
      </c>
      <c r="D203">
        <v>2</v>
      </c>
    </row>
    <row r="204" spans="1:4" x14ac:dyDescent="0.35">
      <c r="A204" s="2">
        <v>44805</v>
      </c>
      <c r="B204" t="s">
        <v>24</v>
      </c>
      <c r="C204" t="s">
        <v>31</v>
      </c>
      <c r="D204">
        <v>1997</v>
      </c>
    </row>
    <row r="205" spans="1:4" x14ac:dyDescent="0.35">
      <c r="A205" s="2">
        <v>44805</v>
      </c>
      <c r="B205" t="s">
        <v>24</v>
      </c>
      <c r="C205" t="s">
        <v>32</v>
      </c>
      <c r="D205">
        <v>207</v>
      </c>
    </row>
    <row r="206" spans="1:4" x14ac:dyDescent="0.35">
      <c r="A206" s="2">
        <v>44805</v>
      </c>
      <c r="B206" t="s">
        <v>24</v>
      </c>
      <c r="C206" t="s">
        <v>33</v>
      </c>
      <c r="D206">
        <v>1213</v>
      </c>
    </row>
    <row r="207" spans="1:4" x14ac:dyDescent="0.35">
      <c r="A207" s="2">
        <v>44805</v>
      </c>
      <c r="B207" t="s">
        <v>24</v>
      </c>
      <c r="C207" t="s">
        <v>25</v>
      </c>
      <c r="D207">
        <v>48</v>
      </c>
    </row>
    <row r="208" spans="1:4" x14ac:dyDescent="0.35">
      <c r="A208" s="2">
        <v>44805</v>
      </c>
      <c r="B208" t="s">
        <v>24</v>
      </c>
      <c r="C208" t="s">
        <v>34</v>
      </c>
      <c r="D208">
        <v>57</v>
      </c>
    </row>
    <row r="209" spans="1:4" x14ac:dyDescent="0.35">
      <c r="A209" s="2">
        <v>44805</v>
      </c>
      <c r="B209" t="s">
        <v>24</v>
      </c>
      <c r="C209" t="s">
        <v>27</v>
      </c>
      <c r="D209">
        <v>21</v>
      </c>
    </row>
    <row r="210" spans="1:4" x14ac:dyDescent="0.35">
      <c r="A210" s="2">
        <v>44805</v>
      </c>
      <c r="B210" t="s">
        <v>24</v>
      </c>
      <c r="C210" t="s">
        <v>30</v>
      </c>
      <c r="D210">
        <v>3</v>
      </c>
    </row>
    <row r="211" spans="1:4" x14ac:dyDescent="0.35">
      <c r="A211" s="2">
        <v>45170</v>
      </c>
      <c r="B211" t="s">
        <v>24</v>
      </c>
      <c r="C211" t="s">
        <v>31</v>
      </c>
      <c r="D211">
        <v>3126</v>
      </c>
    </row>
    <row r="212" spans="1:4" x14ac:dyDescent="0.35">
      <c r="A212" s="2">
        <v>45170</v>
      </c>
      <c r="B212" t="s">
        <v>24</v>
      </c>
      <c r="C212" t="s">
        <v>32</v>
      </c>
      <c r="D212">
        <v>676</v>
      </c>
    </row>
    <row r="213" spans="1:4" x14ac:dyDescent="0.35">
      <c r="A213" s="2">
        <v>45170</v>
      </c>
      <c r="B213" t="s">
        <v>24</v>
      </c>
      <c r="C213" t="s">
        <v>33</v>
      </c>
      <c r="D213">
        <v>1668</v>
      </c>
    </row>
    <row r="214" spans="1:4" x14ac:dyDescent="0.35">
      <c r="A214" s="2">
        <v>45170</v>
      </c>
      <c r="B214" t="s">
        <v>24</v>
      </c>
      <c r="C214" t="s">
        <v>25</v>
      </c>
      <c r="D214">
        <v>141</v>
      </c>
    </row>
    <row r="215" spans="1:4" x14ac:dyDescent="0.35">
      <c r="A215" s="2">
        <v>45170</v>
      </c>
      <c r="B215" t="s">
        <v>24</v>
      </c>
      <c r="C215" t="s">
        <v>34</v>
      </c>
      <c r="D215">
        <v>161</v>
      </c>
    </row>
    <row r="216" spans="1:4" x14ac:dyDescent="0.35">
      <c r="A216" s="2">
        <v>45170</v>
      </c>
      <c r="B216" t="s">
        <v>24</v>
      </c>
      <c r="C216" t="s">
        <v>26</v>
      </c>
      <c r="D216">
        <v>108</v>
      </c>
    </row>
    <row r="217" spans="1:4" x14ac:dyDescent="0.35">
      <c r="A217" s="2">
        <v>45170</v>
      </c>
      <c r="B217" t="s">
        <v>24</v>
      </c>
      <c r="C217" t="s">
        <v>27</v>
      </c>
      <c r="D217">
        <v>58</v>
      </c>
    </row>
    <row r="218" spans="1:4" x14ac:dyDescent="0.35">
      <c r="A218" s="2">
        <v>45170</v>
      </c>
      <c r="B218" t="s">
        <v>24</v>
      </c>
      <c r="C218" t="s">
        <v>30</v>
      </c>
      <c r="D218">
        <v>41</v>
      </c>
    </row>
    <row r="219" spans="1:4" x14ac:dyDescent="0.35">
      <c r="A219" s="2">
        <v>45170</v>
      </c>
      <c r="B219" t="s">
        <v>24</v>
      </c>
      <c r="C219" t="s">
        <v>28</v>
      </c>
      <c r="D219">
        <v>42</v>
      </c>
    </row>
    <row r="220" spans="1:4" x14ac:dyDescent="0.35">
      <c r="A220" s="2">
        <v>45170</v>
      </c>
      <c r="B220" t="s">
        <v>24</v>
      </c>
      <c r="C220" t="s">
        <v>29</v>
      </c>
      <c r="D220">
        <v>26</v>
      </c>
    </row>
    <row r="221" spans="1:4" x14ac:dyDescent="0.35">
      <c r="A221" s="2">
        <v>44470</v>
      </c>
      <c r="B221" t="s">
        <v>24</v>
      </c>
      <c r="C221" t="s">
        <v>31</v>
      </c>
      <c r="D221">
        <v>803</v>
      </c>
    </row>
    <row r="222" spans="1:4" x14ac:dyDescent="0.35">
      <c r="A222" s="2">
        <v>44470</v>
      </c>
      <c r="B222" t="s">
        <v>24</v>
      </c>
      <c r="C222" t="s">
        <v>32</v>
      </c>
      <c r="D222">
        <v>194</v>
      </c>
    </row>
    <row r="223" spans="1:4" x14ac:dyDescent="0.35">
      <c r="A223" s="2">
        <v>44470</v>
      </c>
      <c r="B223" t="s">
        <v>24</v>
      </c>
      <c r="C223" t="s">
        <v>33</v>
      </c>
      <c r="D223">
        <v>369</v>
      </c>
    </row>
    <row r="224" spans="1:4" x14ac:dyDescent="0.35">
      <c r="A224" s="2">
        <v>44470</v>
      </c>
      <c r="B224" t="s">
        <v>24</v>
      </c>
      <c r="C224" t="s">
        <v>34</v>
      </c>
      <c r="D224">
        <v>8</v>
      </c>
    </row>
    <row r="225" spans="1:4" x14ac:dyDescent="0.35">
      <c r="A225" s="2">
        <v>44470</v>
      </c>
      <c r="B225" t="s">
        <v>24</v>
      </c>
      <c r="C225" t="s">
        <v>30</v>
      </c>
      <c r="D225">
        <v>3</v>
      </c>
    </row>
    <row r="226" spans="1:4" x14ac:dyDescent="0.35">
      <c r="A226" s="2">
        <v>44835</v>
      </c>
      <c r="B226" t="s">
        <v>24</v>
      </c>
      <c r="C226" t="s">
        <v>31</v>
      </c>
      <c r="D226">
        <v>2395</v>
      </c>
    </row>
    <row r="227" spans="1:4" x14ac:dyDescent="0.35">
      <c r="A227" s="2">
        <v>44835</v>
      </c>
      <c r="B227" t="s">
        <v>24</v>
      </c>
      <c r="C227" t="s">
        <v>32</v>
      </c>
      <c r="D227">
        <v>338</v>
      </c>
    </row>
    <row r="228" spans="1:4" x14ac:dyDescent="0.35">
      <c r="A228" s="2">
        <v>44835</v>
      </c>
      <c r="B228" t="s">
        <v>24</v>
      </c>
      <c r="C228" t="s">
        <v>33</v>
      </c>
      <c r="D228">
        <v>1051</v>
      </c>
    </row>
    <row r="229" spans="1:4" x14ac:dyDescent="0.35">
      <c r="A229" s="2">
        <v>44835</v>
      </c>
      <c r="B229" t="s">
        <v>24</v>
      </c>
      <c r="C229" t="s">
        <v>25</v>
      </c>
      <c r="D229">
        <v>27</v>
      </c>
    </row>
    <row r="230" spans="1:4" x14ac:dyDescent="0.35">
      <c r="A230" s="2">
        <v>44835</v>
      </c>
      <c r="B230" t="s">
        <v>24</v>
      </c>
      <c r="C230" t="s">
        <v>34</v>
      </c>
      <c r="D230">
        <v>64</v>
      </c>
    </row>
    <row r="231" spans="1:4" x14ac:dyDescent="0.35">
      <c r="A231" s="2">
        <v>44835</v>
      </c>
      <c r="B231" t="s">
        <v>24</v>
      </c>
      <c r="C231" t="s">
        <v>27</v>
      </c>
      <c r="D231">
        <v>4</v>
      </c>
    </row>
    <row r="232" spans="1:4" x14ac:dyDescent="0.35">
      <c r="A232" s="2">
        <v>44835</v>
      </c>
      <c r="B232" t="s">
        <v>24</v>
      </c>
      <c r="C232" t="s">
        <v>30</v>
      </c>
      <c r="D232">
        <v>4</v>
      </c>
    </row>
    <row r="233" spans="1:4" x14ac:dyDescent="0.35">
      <c r="A233" s="2">
        <v>44835</v>
      </c>
      <c r="B233" t="s">
        <v>24</v>
      </c>
      <c r="C233" t="s">
        <v>29</v>
      </c>
      <c r="D233">
        <v>29</v>
      </c>
    </row>
    <row r="234" spans="1:4" x14ac:dyDescent="0.35">
      <c r="A234" s="2">
        <v>45200</v>
      </c>
      <c r="B234" t="s">
        <v>24</v>
      </c>
      <c r="C234" t="s">
        <v>31</v>
      </c>
      <c r="D234">
        <v>3911</v>
      </c>
    </row>
    <row r="235" spans="1:4" x14ac:dyDescent="0.35">
      <c r="A235" s="2">
        <v>45200</v>
      </c>
      <c r="B235" t="s">
        <v>24</v>
      </c>
      <c r="C235" t="s">
        <v>32</v>
      </c>
      <c r="D235">
        <v>714</v>
      </c>
    </row>
    <row r="236" spans="1:4" x14ac:dyDescent="0.35">
      <c r="A236" s="2">
        <v>45200</v>
      </c>
      <c r="B236" t="s">
        <v>24</v>
      </c>
      <c r="C236" t="s">
        <v>33</v>
      </c>
      <c r="D236">
        <v>2027</v>
      </c>
    </row>
    <row r="237" spans="1:4" x14ac:dyDescent="0.35">
      <c r="A237" s="2">
        <v>45200</v>
      </c>
      <c r="B237" t="s">
        <v>24</v>
      </c>
      <c r="C237" t="s">
        <v>25</v>
      </c>
      <c r="D237">
        <v>109</v>
      </c>
    </row>
    <row r="238" spans="1:4" x14ac:dyDescent="0.35">
      <c r="A238" s="2">
        <v>45200</v>
      </c>
      <c r="B238" t="s">
        <v>24</v>
      </c>
      <c r="C238" t="s">
        <v>34</v>
      </c>
      <c r="D238">
        <v>148</v>
      </c>
    </row>
    <row r="239" spans="1:4" x14ac:dyDescent="0.35">
      <c r="A239" s="2">
        <v>45200</v>
      </c>
      <c r="B239" t="s">
        <v>24</v>
      </c>
      <c r="C239" t="s">
        <v>26</v>
      </c>
      <c r="D239">
        <v>132</v>
      </c>
    </row>
    <row r="240" spans="1:4" x14ac:dyDescent="0.35">
      <c r="A240" s="2">
        <v>45200</v>
      </c>
      <c r="B240" t="s">
        <v>24</v>
      </c>
      <c r="C240" t="s">
        <v>27</v>
      </c>
      <c r="D240">
        <v>71</v>
      </c>
    </row>
    <row r="241" spans="1:4" x14ac:dyDescent="0.35">
      <c r="A241" s="2">
        <v>45200</v>
      </c>
      <c r="B241" t="s">
        <v>24</v>
      </c>
      <c r="C241" t="s">
        <v>30</v>
      </c>
      <c r="D241">
        <v>18</v>
      </c>
    </row>
    <row r="242" spans="1:4" x14ac:dyDescent="0.35">
      <c r="A242" s="2">
        <v>45200</v>
      </c>
      <c r="B242" t="s">
        <v>24</v>
      </c>
      <c r="C242" t="s">
        <v>28</v>
      </c>
      <c r="D242">
        <v>41</v>
      </c>
    </row>
    <row r="243" spans="1:4" x14ac:dyDescent="0.35">
      <c r="A243" s="2">
        <v>45200</v>
      </c>
      <c r="B243" t="s">
        <v>24</v>
      </c>
      <c r="C243" t="s">
        <v>29</v>
      </c>
      <c r="D243">
        <v>39</v>
      </c>
    </row>
    <row r="244" spans="1:4" x14ac:dyDescent="0.35">
      <c r="A244" s="2">
        <v>44501</v>
      </c>
      <c r="B244" t="s">
        <v>24</v>
      </c>
      <c r="C244" t="s">
        <v>31</v>
      </c>
      <c r="D244">
        <v>1036</v>
      </c>
    </row>
    <row r="245" spans="1:4" x14ac:dyDescent="0.35">
      <c r="A245" s="2">
        <v>44501</v>
      </c>
      <c r="B245" t="s">
        <v>24</v>
      </c>
      <c r="C245" t="s">
        <v>32</v>
      </c>
      <c r="D245">
        <v>118</v>
      </c>
    </row>
    <row r="246" spans="1:4" x14ac:dyDescent="0.35">
      <c r="A246" s="2">
        <v>44501</v>
      </c>
      <c r="B246" t="s">
        <v>24</v>
      </c>
      <c r="C246" t="s">
        <v>33</v>
      </c>
      <c r="D246">
        <v>462</v>
      </c>
    </row>
    <row r="247" spans="1:4" x14ac:dyDescent="0.35">
      <c r="A247" s="2">
        <v>44501</v>
      </c>
      <c r="B247" t="s">
        <v>24</v>
      </c>
      <c r="C247" t="s">
        <v>34</v>
      </c>
      <c r="D247">
        <v>7</v>
      </c>
    </row>
    <row r="248" spans="1:4" x14ac:dyDescent="0.35">
      <c r="A248" s="2">
        <v>44501</v>
      </c>
      <c r="B248" t="s">
        <v>24</v>
      </c>
      <c r="C248" t="s">
        <v>30</v>
      </c>
      <c r="D248">
        <v>2</v>
      </c>
    </row>
    <row r="249" spans="1:4" x14ac:dyDescent="0.35">
      <c r="A249" s="2">
        <v>44866</v>
      </c>
      <c r="B249" t="s">
        <v>24</v>
      </c>
      <c r="C249" t="s">
        <v>31</v>
      </c>
      <c r="D249">
        <v>2264</v>
      </c>
    </row>
    <row r="250" spans="1:4" x14ac:dyDescent="0.35">
      <c r="A250" s="2">
        <v>44866</v>
      </c>
      <c r="B250" t="s">
        <v>24</v>
      </c>
      <c r="C250" t="s">
        <v>32</v>
      </c>
      <c r="D250">
        <v>464</v>
      </c>
    </row>
    <row r="251" spans="1:4" x14ac:dyDescent="0.35">
      <c r="A251" s="2">
        <v>44866</v>
      </c>
      <c r="B251" t="s">
        <v>24</v>
      </c>
      <c r="C251" t="s">
        <v>33</v>
      </c>
      <c r="D251">
        <v>1067</v>
      </c>
    </row>
    <row r="252" spans="1:4" x14ac:dyDescent="0.35">
      <c r="A252" s="2">
        <v>44866</v>
      </c>
      <c r="B252" t="s">
        <v>24</v>
      </c>
      <c r="C252" t="s">
        <v>25</v>
      </c>
      <c r="D252">
        <v>39</v>
      </c>
    </row>
    <row r="253" spans="1:4" x14ac:dyDescent="0.35">
      <c r="A253" s="2">
        <v>44866</v>
      </c>
      <c r="B253" t="s">
        <v>24</v>
      </c>
      <c r="C253" t="s">
        <v>34</v>
      </c>
      <c r="D253">
        <v>59</v>
      </c>
    </row>
    <row r="254" spans="1:4" x14ac:dyDescent="0.35">
      <c r="A254" s="2">
        <v>44866</v>
      </c>
      <c r="B254" t="s">
        <v>24</v>
      </c>
      <c r="C254" t="s">
        <v>27</v>
      </c>
      <c r="D254">
        <v>14</v>
      </c>
    </row>
    <row r="255" spans="1:4" x14ac:dyDescent="0.35">
      <c r="A255" s="2">
        <v>44866</v>
      </c>
      <c r="B255" t="s">
        <v>24</v>
      </c>
      <c r="C255" t="s">
        <v>30</v>
      </c>
      <c r="D255">
        <v>4</v>
      </c>
    </row>
    <row r="256" spans="1:4" x14ac:dyDescent="0.35">
      <c r="A256" s="2">
        <v>44866</v>
      </c>
      <c r="B256" t="s">
        <v>24</v>
      </c>
      <c r="C256" t="s">
        <v>28</v>
      </c>
      <c r="D256">
        <v>5</v>
      </c>
    </row>
    <row r="257" spans="1:4" x14ac:dyDescent="0.35">
      <c r="A257" s="2">
        <v>44866</v>
      </c>
      <c r="B257" t="s">
        <v>24</v>
      </c>
      <c r="C257" t="s">
        <v>29</v>
      </c>
      <c r="D257">
        <v>61</v>
      </c>
    </row>
    <row r="258" spans="1:4" x14ac:dyDescent="0.35">
      <c r="A258" s="2">
        <v>45231</v>
      </c>
      <c r="B258" t="s">
        <v>24</v>
      </c>
      <c r="C258" t="s">
        <v>31</v>
      </c>
      <c r="D258">
        <v>4432</v>
      </c>
    </row>
    <row r="259" spans="1:4" x14ac:dyDescent="0.35">
      <c r="A259" s="2">
        <v>45231</v>
      </c>
      <c r="B259" t="s">
        <v>24</v>
      </c>
      <c r="C259" t="s">
        <v>32</v>
      </c>
      <c r="D259">
        <v>723</v>
      </c>
    </row>
    <row r="260" spans="1:4" x14ac:dyDescent="0.35">
      <c r="A260" s="2">
        <v>45231</v>
      </c>
      <c r="B260" t="s">
        <v>24</v>
      </c>
      <c r="C260" t="s">
        <v>33</v>
      </c>
      <c r="D260">
        <v>1222</v>
      </c>
    </row>
    <row r="261" spans="1:4" x14ac:dyDescent="0.35">
      <c r="A261" s="2">
        <v>45231</v>
      </c>
      <c r="B261" t="s">
        <v>24</v>
      </c>
      <c r="C261" t="s">
        <v>25</v>
      </c>
      <c r="D261">
        <v>106</v>
      </c>
    </row>
    <row r="262" spans="1:4" x14ac:dyDescent="0.35">
      <c r="A262" s="2">
        <v>45231</v>
      </c>
      <c r="B262" t="s">
        <v>24</v>
      </c>
      <c r="C262" t="s">
        <v>34</v>
      </c>
      <c r="D262">
        <v>125</v>
      </c>
    </row>
    <row r="263" spans="1:4" x14ac:dyDescent="0.35">
      <c r="A263" s="2">
        <v>45231</v>
      </c>
      <c r="B263" t="s">
        <v>24</v>
      </c>
      <c r="C263" t="s">
        <v>26</v>
      </c>
      <c r="D263">
        <v>98</v>
      </c>
    </row>
    <row r="264" spans="1:4" x14ac:dyDescent="0.35">
      <c r="A264" s="2">
        <v>45231</v>
      </c>
      <c r="B264" t="s">
        <v>24</v>
      </c>
      <c r="C264" t="s">
        <v>27</v>
      </c>
      <c r="D264">
        <v>215</v>
      </c>
    </row>
    <row r="265" spans="1:4" x14ac:dyDescent="0.35">
      <c r="A265" s="2">
        <v>45231</v>
      </c>
      <c r="B265" t="s">
        <v>24</v>
      </c>
      <c r="C265" t="s">
        <v>30</v>
      </c>
      <c r="D265">
        <v>35</v>
      </c>
    </row>
    <row r="266" spans="1:4" x14ac:dyDescent="0.35">
      <c r="A266" s="2">
        <v>45231</v>
      </c>
      <c r="B266" t="s">
        <v>24</v>
      </c>
      <c r="C266" t="s">
        <v>28</v>
      </c>
      <c r="D266">
        <v>57</v>
      </c>
    </row>
    <row r="267" spans="1:4" x14ac:dyDescent="0.35">
      <c r="A267" s="2">
        <v>45231</v>
      </c>
      <c r="B267" t="s">
        <v>24</v>
      </c>
      <c r="C267" t="s">
        <v>29</v>
      </c>
      <c r="D267">
        <v>29</v>
      </c>
    </row>
    <row r="268" spans="1:4" x14ac:dyDescent="0.35">
      <c r="A268" s="2">
        <v>44531</v>
      </c>
      <c r="B268" t="s">
        <v>24</v>
      </c>
      <c r="C268" t="s">
        <v>31</v>
      </c>
      <c r="D268">
        <v>1952</v>
      </c>
    </row>
    <row r="269" spans="1:4" x14ac:dyDescent="0.35">
      <c r="A269" s="2">
        <v>44531</v>
      </c>
      <c r="B269" t="s">
        <v>24</v>
      </c>
      <c r="C269" t="s">
        <v>32</v>
      </c>
      <c r="D269">
        <v>99</v>
      </c>
    </row>
    <row r="270" spans="1:4" x14ac:dyDescent="0.35">
      <c r="A270" s="2">
        <v>44531</v>
      </c>
      <c r="B270" t="s">
        <v>24</v>
      </c>
      <c r="C270" t="s">
        <v>33</v>
      </c>
      <c r="D270">
        <v>552</v>
      </c>
    </row>
    <row r="271" spans="1:4" x14ac:dyDescent="0.35">
      <c r="A271" s="2">
        <v>44531</v>
      </c>
      <c r="B271" t="s">
        <v>24</v>
      </c>
      <c r="C271" t="s">
        <v>25</v>
      </c>
      <c r="D271">
        <v>1</v>
      </c>
    </row>
    <row r="272" spans="1:4" x14ac:dyDescent="0.35">
      <c r="A272" s="2">
        <v>44531</v>
      </c>
      <c r="B272" t="s">
        <v>24</v>
      </c>
      <c r="C272" t="s">
        <v>34</v>
      </c>
      <c r="D272">
        <v>10</v>
      </c>
    </row>
    <row r="273" spans="1:4" x14ac:dyDescent="0.35">
      <c r="A273" s="2">
        <v>44531</v>
      </c>
      <c r="B273" t="s">
        <v>24</v>
      </c>
      <c r="C273" t="s">
        <v>30</v>
      </c>
      <c r="D273">
        <v>1</v>
      </c>
    </row>
    <row r="274" spans="1:4" x14ac:dyDescent="0.35">
      <c r="A274" s="2">
        <v>44896</v>
      </c>
      <c r="B274" t="s">
        <v>24</v>
      </c>
      <c r="C274" t="s">
        <v>31</v>
      </c>
      <c r="D274">
        <v>1992</v>
      </c>
    </row>
    <row r="275" spans="1:4" x14ac:dyDescent="0.35">
      <c r="A275" s="2">
        <v>44896</v>
      </c>
      <c r="B275" t="s">
        <v>24</v>
      </c>
      <c r="C275" t="s">
        <v>32</v>
      </c>
      <c r="D275">
        <v>363</v>
      </c>
    </row>
    <row r="276" spans="1:4" x14ac:dyDescent="0.35">
      <c r="A276" s="2">
        <v>44896</v>
      </c>
      <c r="B276" t="s">
        <v>24</v>
      </c>
      <c r="C276" t="s">
        <v>33</v>
      </c>
      <c r="D276">
        <v>1260</v>
      </c>
    </row>
    <row r="277" spans="1:4" x14ac:dyDescent="0.35">
      <c r="A277" s="2">
        <v>44896</v>
      </c>
      <c r="B277" t="s">
        <v>24</v>
      </c>
      <c r="C277" t="s">
        <v>25</v>
      </c>
      <c r="D277">
        <v>37</v>
      </c>
    </row>
    <row r="278" spans="1:4" x14ac:dyDescent="0.35">
      <c r="A278" s="2">
        <v>44896</v>
      </c>
      <c r="B278" t="s">
        <v>24</v>
      </c>
      <c r="C278" t="s">
        <v>34</v>
      </c>
      <c r="D278">
        <v>68</v>
      </c>
    </row>
    <row r="279" spans="1:4" x14ac:dyDescent="0.35">
      <c r="A279" s="2">
        <v>44896</v>
      </c>
      <c r="B279" t="s">
        <v>24</v>
      </c>
      <c r="C279" t="s">
        <v>27</v>
      </c>
      <c r="D279">
        <v>27</v>
      </c>
    </row>
    <row r="280" spans="1:4" x14ac:dyDescent="0.35">
      <c r="A280" s="2">
        <v>44896</v>
      </c>
      <c r="B280" t="s">
        <v>24</v>
      </c>
      <c r="C280" t="s">
        <v>30</v>
      </c>
      <c r="D280">
        <v>6</v>
      </c>
    </row>
    <row r="281" spans="1:4" x14ac:dyDescent="0.35">
      <c r="A281" s="2">
        <v>44896</v>
      </c>
      <c r="B281" t="s">
        <v>24</v>
      </c>
      <c r="C281" t="s">
        <v>28</v>
      </c>
      <c r="D281">
        <v>16</v>
      </c>
    </row>
    <row r="282" spans="1:4" x14ac:dyDescent="0.35">
      <c r="A282" s="2">
        <v>44896</v>
      </c>
      <c r="B282" t="s">
        <v>24</v>
      </c>
      <c r="C282" t="s">
        <v>29</v>
      </c>
      <c r="D282">
        <v>65</v>
      </c>
    </row>
    <row r="283" spans="1:4" x14ac:dyDescent="0.35">
      <c r="A283" s="2">
        <v>45261</v>
      </c>
      <c r="B283" t="s">
        <v>24</v>
      </c>
      <c r="C283" t="s">
        <v>31</v>
      </c>
      <c r="D283">
        <v>4893</v>
      </c>
    </row>
    <row r="284" spans="1:4" x14ac:dyDescent="0.35">
      <c r="A284" s="2">
        <v>45261</v>
      </c>
      <c r="B284" t="s">
        <v>24</v>
      </c>
      <c r="C284" t="s">
        <v>32</v>
      </c>
      <c r="D284">
        <v>753</v>
      </c>
    </row>
    <row r="285" spans="1:4" x14ac:dyDescent="0.35">
      <c r="A285" s="2">
        <v>45261</v>
      </c>
      <c r="B285" t="s">
        <v>24</v>
      </c>
      <c r="C285" t="s">
        <v>33</v>
      </c>
      <c r="D285">
        <v>1015</v>
      </c>
    </row>
    <row r="286" spans="1:4" x14ac:dyDescent="0.35">
      <c r="A286" s="2">
        <v>45261</v>
      </c>
      <c r="B286" t="s">
        <v>24</v>
      </c>
      <c r="C286" t="s">
        <v>25</v>
      </c>
      <c r="D286">
        <v>135</v>
      </c>
    </row>
    <row r="287" spans="1:4" x14ac:dyDescent="0.35">
      <c r="A287" s="2">
        <v>45261</v>
      </c>
      <c r="B287" t="s">
        <v>24</v>
      </c>
      <c r="C287" t="s">
        <v>34</v>
      </c>
      <c r="D287">
        <v>97</v>
      </c>
    </row>
    <row r="288" spans="1:4" x14ac:dyDescent="0.35">
      <c r="A288" s="2">
        <v>45261</v>
      </c>
      <c r="B288" t="s">
        <v>24</v>
      </c>
      <c r="C288" t="s">
        <v>26</v>
      </c>
      <c r="D288">
        <v>40</v>
      </c>
    </row>
    <row r="289" spans="1:4" x14ac:dyDescent="0.35">
      <c r="A289" s="2">
        <v>45261</v>
      </c>
      <c r="B289" t="s">
        <v>24</v>
      </c>
      <c r="C289" t="s">
        <v>27</v>
      </c>
      <c r="D289">
        <v>137</v>
      </c>
    </row>
    <row r="290" spans="1:4" x14ac:dyDescent="0.35">
      <c r="A290" s="2">
        <v>45261</v>
      </c>
      <c r="B290" t="s">
        <v>24</v>
      </c>
      <c r="C290" t="s">
        <v>30</v>
      </c>
      <c r="D290">
        <v>51</v>
      </c>
    </row>
    <row r="291" spans="1:4" x14ac:dyDescent="0.35">
      <c r="A291" s="2">
        <v>45261</v>
      </c>
      <c r="B291" t="s">
        <v>24</v>
      </c>
      <c r="C291" t="s">
        <v>28</v>
      </c>
      <c r="D291">
        <v>47</v>
      </c>
    </row>
    <row r="292" spans="1:4" x14ac:dyDescent="0.35">
      <c r="A292" s="2">
        <v>45261</v>
      </c>
      <c r="B292" t="s">
        <v>24</v>
      </c>
      <c r="C292" t="s">
        <v>29</v>
      </c>
      <c r="D292">
        <v>23</v>
      </c>
    </row>
    <row r="293" spans="1:4" x14ac:dyDescent="0.35">
      <c r="A293" s="2">
        <v>44562</v>
      </c>
      <c r="B293" t="s">
        <v>24</v>
      </c>
      <c r="C293" t="s">
        <v>31</v>
      </c>
      <c r="D293">
        <v>1012</v>
      </c>
    </row>
    <row r="294" spans="1:4" x14ac:dyDescent="0.35">
      <c r="A294" s="2">
        <v>44562</v>
      </c>
      <c r="B294" t="s">
        <v>24</v>
      </c>
      <c r="C294" t="s">
        <v>32</v>
      </c>
      <c r="D294">
        <v>48</v>
      </c>
    </row>
    <row r="295" spans="1:4" x14ac:dyDescent="0.35">
      <c r="A295" s="2">
        <v>44562</v>
      </c>
      <c r="B295" t="s">
        <v>24</v>
      </c>
      <c r="C295" t="s">
        <v>33</v>
      </c>
      <c r="D295">
        <v>474</v>
      </c>
    </row>
    <row r="296" spans="1:4" x14ac:dyDescent="0.35">
      <c r="A296" s="2">
        <v>44562</v>
      </c>
      <c r="B296" t="s">
        <v>24</v>
      </c>
      <c r="C296" t="s">
        <v>25</v>
      </c>
      <c r="D296">
        <v>8</v>
      </c>
    </row>
    <row r="297" spans="1:4" x14ac:dyDescent="0.35">
      <c r="A297" s="2">
        <v>44562</v>
      </c>
      <c r="B297" t="s">
        <v>24</v>
      </c>
      <c r="C297" t="s">
        <v>34</v>
      </c>
      <c r="D297">
        <v>6</v>
      </c>
    </row>
    <row r="298" spans="1:4" x14ac:dyDescent="0.35">
      <c r="A298" s="2">
        <v>44562</v>
      </c>
      <c r="B298" t="s">
        <v>24</v>
      </c>
      <c r="C298" t="s">
        <v>30</v>
      </c>
      <c r="D298">
        <v>2</v>
      </c>
    </row>
    <row r="299" spans="1:4" x14ac:dyDescent="0.35">
      <c r="A299" s="2">
        <v>44927</v>
      </c>
      <c r="B299" t="s">
        <v>24</v>
      </c>
      <c r="C299" t="s">
        <v>31</v>
      </c>
      <c r="D299">
        <v>1812</v>
      </c>
    </row>
    <row r="300" spans="1:4" x14ac:dyDescent="0.35">
      <c r="A300" s="2">
        <v>44927</v>
      </c>
      <c r="B300" t="s">
        <v>24</v>
      </c>
      <c r="C300" t="s">
        <v>32</v>
      </c>
      <c r="D300">
        <v>313</v>
      </c>
    </row>
    <row r="301" spans="1:4" x14ac:dyDescent="0.35">
      <c r="A301" s="2">
        <v>44927</v>
      </c>
      <c r="B301" t="s">
        <v>24</v>
      </c>
      <c r="C301" t="s">
        <v>33</v>
      </c>
      <c r="D301">
        <v>967</v>
      </c>
    </row>
    <row r="302" spans="1:4" x14ac:dyDescent="0.35">
      <c r="A302" s="2">
        <v>44927</v>
      </c>
      <c r="B302" t="s">
        <v>24</v>
      </c>
      <c r="C302" t="s">
        <v>25</v>
      </c>
      <c r="D302">
        <v>101</v>
      </c>
    </row>
    <row r="303" spans="1:4" x14ac:dyDescent="0.35">
      <c r="A303" s="2">
        <v>44927</v>
      </c>
      <c r="B303" t="s">
        <v>24</v>
      </c>
      <c r="C303" t="s">
        <v>34</v>
      </c>
      <c r="D303">
        <v>84</v>
      </c>
    </row>
    <row r="304" spans="1:4" x14ac:dyDescent="0.35">
      <c r="A304" s="2">
        <v>44927</v>
      </c>
      <c r="B304" t="s">
        <v>24</v>
      </c>
      <c r="C304" t="s">
        <v>27</v>
      </c>
      <c r="D304">
        <v>91</v>
      </c>
    </row>
    <row r="305" spans="1:4" x14ac:dyDescent="0.35">
      <c r="A305" s="2">
        <v>44927</v>
      </c>
      <c r="B305" t="s">
        <v>24</v>
      </c>
      <c r="C305" t="s">
        <v>30</v>
      </c>
      <c r="D305">
        <v>14</v>
      </c>
    </row>
    <row r="306" spans="1:4" x14ac:dyDescent="0.35">
      <c r="A306" s="2">
        <v>44927</v>
      </c>
      <c r="B306" t="s">
        <v>24</v>
      </c>
      <c r="C306" t="s">
        <v>28</v>
      </c>
      <c r="D306">
        <v>21</v>
      </c>
    </row>
    <row r="307" spans="1:4" x14ac:dyDescent="0.35">
      <c r="A307" s="2">
        <v>44927</v>
      </c>
      <c r="B307" t="s">
        <v>24</v>
      </c>
      <c r="C307" t="s">
        <v>29</v>
      </c>
      <c r="D307">
        <v>35</v>
      </c>
    </row>
    <row r="308" spans="1:4" x14ac:dyDescent="0.35">
      <c r="A308" s="2">
        <v>45292</v>
      </c>
      <c r="B308" t="s">
        <v>24</v>
      </c>
      <c r="C308" t="s">
        <v>31</v>
      </c>
      <c r="D308">
        <v>5674</v>
      </c>
    </row>
    <row r="309" spans="1:4" x14ac:dyDescent="0.35">
      <c r="A309" s="2">
        <v>45292</v>
      </c>
      <c r="B309" t="s">
        <v>24</v>
      </c>
      <c r="C309" t="s">
        <v>32</v>
      </c>
      <c r="D309">
        <v>908</v>
      </c>
    </row>
    <row r="310" spans="1:4" x14ac:dyDescent="0.35">
      <c r="A310" s="2">
        <v>45292</v>
      </c>
      <c r="B310" t="s">
        <v>24</v>
      </c>
      <c r="C310" t="s">
        <v>33</v>
      </c>
      <c r="D310">
        <v>896</v>
      </c>
    </row>
    <row r="311" spans="1:4" x14ac:dyDescent="0.35">
      <c r="A311" s="2">
        <v>45292</v>
      </c>
      <c r="B311" t="s">
        <v>24</v>
      </c>
      <c r="C311" t="s">
        <v>25</v>
      </c>
      <c r="D311">
        <v>123</v>
      </c>
    </row>
    <row r="312" spans="1:4" x14ac:dyDescent="0.35">
      <c r="A312" s="2">
        <v>45292</v>
      </c>
      <c r="B312" t="s">
        <v>24</v>
      </c>
      <c r="C312" t="s">
        <v>34</v>
      </c>
      <c r="D312">
        <v>128</v>
      </c>
    </row>
    <row r="313" spans="1:4" x14ac:dyDescent="0.35">
      <c r="A313" s="2">
        <v>45292</v>
      </c>
      <c r="B313" t="s">
        <v>24</v>
      </c>
      <c r="C313" t="s">
        <v>26</v>
      </c>
      <c r="D313">
        <v>23</v>
      </c>
    </row>
    <row r="314" spans="1:4" x14ac:dyDescent="0.35">
      <c r="A314" s="2">
        <v>45292</v>
      </c>
      <c r="B314" t="s">
        <v>24</v>
      </c>
      <c r="C314" t="s">
        <v>27</v>
      </c>
      <c r="D314">
        <v>116</v>
      </c>
    </row>
    <row r="315" spans="1:4" x14ac:dyDescent="0.35">
      <c r="A315" s="2">
        <v>45292</v>
      </c>
      <c r="B315" t="s">
        <v>24</v>
      </c>
      <c r="C315" t="s">
        <v>30</v>
      </c>
      <c r="D315">
        <v>29</v>
      </c>
    </row>
    <row r="316" spans="1:4" x14ac:dyDescent="0.35">
      <c r="A316" s="2">
        <v>45292</v>
      </c>
      <c r="B316" t="s">
        <v>24</v>
      </c>
      <c r="C316" t="s">
        <v>28</v>
      </c>
      <c r="D316">
        <v>42</v>
      </c>
    </row>
    <row r="317" spans="1:4" x14ac:dyDescent="0.35">
      <c r="A317" s="2">
        <v>45292</v>
      </c>
      <c r="B317" t="s">
        <v>24</v>
      </c>
      <c r="C317" t="s">
        <v>29</v>
      </c>
      <c r="D317">
        <v>29</v>
      </c>
    </row>
    <row r="318" spans="1:4" x14ac:dyDescent="0.35">
      <c r="A318" s="2">
        <v>44593</v>
      </c>
      <c r="B318" t="s">
        <v>24</v>
      </c>
      <c r="C318" t="s">
        <v>31</v>
      </c>
      <c r="D318">
        <v>1922</v>
      </c>
    </row>
    <row r="319" spans="1:4" x14ac:dyDescent="0.35">
      <c r="A319" s="2">
        <v>44593</v>
      </c>
      <c r="B319" t="s">
        <v>24</v>
      </c>
      <c r="C319" t="s">
        <v>32</v>
      </c>
      <c r="D319">
        <v>30</v>
      </c>
    </row>
    <row r="320" spans="1:4" x14ac:dyDescent="0.35">
      <c r="A320" s="2">
        <v>44593</v>
      </c>
      <c r="B320" t="s">
        <v>24</v>
      </c>
      <c r="C320" t="s">
        <v>33</v>
      </c>
      <c r="D320">
        <v>478</v>
      </c>
    </row>
    <row r="321" spans="1:4" x14ac:dyDescent="0.35">
      <c r="A321" s="2">
        <v>44593</v>
      </c>
      <c r="B321" t="s">
        <v>24</v>
      </c>
      <c r="C321" t="s">
        <v>25</v>
      </c>
      <c r="D321">
        <v>10</v>
      </c>
    </row>
    <row r="322" spans="1:4" x14ac:dyDescent="0.35">
      <c r="A322" s="2">
        <v>44593</v>
      </c>
      <c r="B322" t="s">
        <v>24</v>
      </c>
      <c r="C322" t="s">
        <v>34</v>
      </c>
      <c r="D322">
        <v>6</v>
      </c>
    </row>
    <row r="323" spans="1:4" x14ac:dyDescent="0.35">
      <c r="A323" s="2">
        <v>44593</v>
      </c>
      <c r="B323" t="s">
        <v>24</v>
      </c>
      <c r="C323" t="s">
        <v>30</v>
      </c>
      <c r="D323">
        <v>3</v>
      </c>
    </row>
    <row r="324" spans="1:4" x14ac:dyDescent="0.35">
      <c r="A324" s="2">
        <v>44958</v>
      </c>
      <c r="B324" t="s">
        <v>24</v>
      </c>
      <c r="C324" t="s">
        <v>31</v>
      </c>
      <c r="D324">
        <v>2651</v>
      </c>
    </row>
    <row r="325" spans="1:4" x14ac:dyDescent="0.35">
      <c r="A325" s="2">
        <v>44958</v>
      </c>
      <c r="B325" t="s">
        <v>24</v>
      </c>
      <c r="C325" t="s">
        <v>32</v>
      </c>
      <c r="D325">
        <v>261</v>
      </c>
    </row>
    <row r="326" spans="1:4" x14ac:dyDescent="0.35">
      <c r="A326" s="2">
        <v>44958</v>
      </c>
      <c r="B326" t="s">
        <v>24</v>
      </c>
      <c r="C326" t="s">
        <v>33</v>
      </c>
      <c r="D326">
        <v>1531</v>
      </c>
    </row>
    <row r="327" spans="1:4" x14ac:dyDescent="0.35">
      <c r="A327" s="2">
        <v>44958</v>
      </c>
      <c r="B327" t="s">
        <v>24</v>
      </c>
      <c r="C327" t="s">
        <v>25</v>
      </c>
      <c r="D327">
        <v>174</v>
      </c>
    </row>
    <row r="328" spans="1:4" x14ac:dyDescent="0.35">
      <c r="A328" s="2">
        <v>44958</v>
      </c>
      <c r="B328" t="s">
        <v>24</v>
      </c>
      <c r="C328" t="s">
        <v>34</v>
      </c>
      <c r="D328">
        <v>36</v>
      </c>
    </row>
    <row r="329" spans="1:4" x14ac:dyDescent="0.35">
      <c r="A329" s="2">
        <v>44958</v>
      </c>
      <c r="B329" t="s">
        <v>24</v>
      </c>
      <c r="C329" t="s">
        <v>27</v>
      </c>
      <c r="D329">
        <v>43</v>
      </c>
    </row>
    <row r="330" spans="1:4" x14ac:dyDescent="0.35">
      <c r="A330" s="2">
        <v>44958</v>
      </c>
      <c r="B330" t="s">
        <v>24</v>
      </c>
      <c r="C330" t="s">
        <v>30</v>
      </c>
      <c r="D330">
        <v>12</v>
      </c>
    </row>
    <row r="331" spans="1:4" x14ac:dyDescent="0.35">
      <c r="A331" s="2">
        <v>44958</v>
      </c>
      <c r="B331" t="s">
        <v>24</v>
      </c>
      <c r="C331" t="s">
        <v>28</v>
      </c>
      <c r="D331">
        <v>26</v>
      </c>
    </row>
    <row r="332" spans="1:4" x14ac:dyDescent="0.35">
      <c r="A332" s="2">
        <v>44958</v>
      </c>
      <c r="B332" t="s">
        <v>24</v>
      </c>
      <c r="C332" t="s">
        <v>29</v>
      </c>
      <c r="D332">
        <v>22</v>
      </c>
    </row>
    <row r="333" spans="1:4" x14ac:dyDescent="0.35">
      <c r="A333" s="2">
        <v>45323</v>
      </c>
      <c r="B333" t="s">
        <v>24</v>
      </c>
      <c r="C333" t="s">
        <v>31</v>
      </c>
      <c r="D333">
        <v>5081</v>
      </c>
    </row>
    <row r="334" spans="1:4" x14ac:dyDescent="0.35">
      <c r="A334" s="2">
        <v>45323</v>
      </c>
      <c r="B334" t="s">
        <v>24</v>
      </c>
      <c r="C334" t="s">
        <v>32</v>
      </c>
      <c r="D334">
        <v>829</v>
      </c>
    </row>
    <row r="335" spans="1:4" x14ac:dyDescent="0.35">
      <c r="A335" s="2">
        <v>45323</v>
      </c>
      <c r="B335" t="s">
        <v>24</v>
      </c>
      <c r="C335" t="s">
        <v>33</v>
      </c>
      <c r="D335">
        <v>712</v>
      </c>
    </row>
    <row r="336" spans="1:4" x14ac:dyDescent="0.35">
      <c r="A336" s="2">
        <v>45323</v>
      </c>
      <c r="B336" t="s">
        <v>24</v>
      </c>
      <c r="C336" t="s">
        <v>25</v>
      </c>
      <c r="D336">
        <v>135</v>
      </c>
    </row>
    <row r="337" spans="1:4" x14ac:dyDescent="0.35">
      <c r="A337" s="2">
        <v>45323</v>
      </c>
      <c r="B337" t="s">
        <v>24</v>
      </c>
      <c r="C337" t="s">
        <v>34</v>
      </c>
      <c r="D337">
        <v>94</v>
      </c>
    </row>
    <row r="338" spans="1:4" x14ac:dyDescent="0.35">
      <c r="A338" s="2">
        <v>45323</v>
      </c>
      <c r="B338" t="s">
        <v>24</v>
      </c>
      <c r="C338" t="s">
        <v>26</v>
      </c>
      <c r="D338">
        <v>64</v>
      </c>
    </row>
    <row r="339" spans="1:4" x14ac:dyDescent="0.35">
      <c r="A339" s="2">
        <v>45323</v>
      </c>
      <c r="B339" t="s">
        <v>24</v>
      </c>
      <c r="C339" t="s">
        <v>27</v>
      </c>
      <c r="D339">
        <v>97</v>
      </c>
    </row>
    <row r="340" spans="1:4" x14ac:dyDescent="0.35">
      <c r="A340" s="2">
        <v>45323</v>
      </c>
      <c r="B340" t="s">
        <v>24</v>
      </c>
      <c r="C340" t="s">
        <v>30</v>
      </c>
      <c r="D340">
        <v>24</v>
      </c>
    </row>
    <row r="341" spans="1:4" x14ac:dyDescent="0.35">
      <c r="A341" s="2">
        <v>45323</v>
      </c>
      <c r="B341" t="s">
        <v>24</v>
      </c>
      <c r="C341" t="s">
        <v>28</v>
      </c>
      <c r="D341">
        <v>35</v>
      </c>
    </row>
    <row r="342" spans="1:4" x14ac:dyDescent="0.35">
      <c r="A342" s="2">
        <v>45323</v>
      </c>
      <c r="B342" t="s">
        <v>24</v>
      </c>
      <c r="C342" t="s">
        <v>29</v>
      </c>
      <c r="D342">
        <v>17</v>
      </c>
    </row>
    <row r="343" spans="1:4" x14ac:dyDescent="0.35">
      <c r="A343" s="2">
        <v>44621</v>
      </c>
      <c r="B343" t="s">
        <v>24</v>
      </c>
      <c r="C343" t="s">
        <v>31</v>
      </c>
      <c r="D343">
        <v>2900</v>
      </c>
    </row>
    <row r="344" spans="1:4" x14ac:dyDescent="0.35">
      <c r="A344" s="2">
        <v>44621</v>
      </c>
      <c r="B344" t="s">
        <v>24</v>
      </c>
      <c r="C344" t="s">
        <v>32</v>
      </c>
      <c r="D344">
        <v>75</v>
      </c>
    </row>
    <row r="345" spans="1:4" x14ac:dyDescent="0.35">
      <c r="A345" s="2">
        <v>44621</v>
      </c>
      <c r="B345" t="s">
        <v>24</v>
      </c>
      <c r="C345" t="s">
        <v>33</v>
      </c>
      <c r="D345">
        <v>701</v>
      </c>
    </row>
    <row r="346" spans="1:4" x14ac:dyDescent="0.35">
      <c r="A346" s="2">
        <v>44621</v>
      </c>
      <c r="B346" t="s">
        <v>24</v>
      </c>
      <c r="C346" t="s">
        <v>25</v>
      </c>
      <c r="D346">
        <v>14</v>
      </c>
    </row>
    <row r="347" spans="1:4" x14ac:dyDescent="0.35">
      <c r="A347" s="2">
        <v>44621</v>
      </c>
      <c r="B347" t="s">
        <v>24</v>
      </c>
      <c r="C347" t="s">
        <v>34</v>
      </c>
      <c r="D347">
        <v>14</v>
      </c>
    </row>
    <row r="348" spans="1:4" x14ac:dyDescent="0.35">
      <c r="A348" s="2">
        <v>44621</v>
      </c>
      <c r="B348" t="s">
        <v>24</v>
      </c>
      <c r="C348" t="s">
        <v>27</v>
      </c>
      <c r="D348">
        <v>7</v>
      </c>
    </row>
    <row r="349" spans="1:4" x14ac:dyDescent="0.35">
      <c r="A349" s="2">
        <v>44621</v>
      </c>
      <c r="B349" t="s">
        <v>24</v>
      </c>
      <c r="C349" t="s">
        <v>30</v>
      </c>
      <c r="D349">
        <v>5</v>
      </c>
    </row>
    <row r="350" spans="1:4" x14ac:dyDescent="0.35">
      <c r="A350" s="2">
        <v>44621</v>
      </c>
      <c r="B350" t="s">
        <v>24</v>
      </c>
      <c r="C350" t="s">
        <v>28</v>
      </c>
      <c r="D350">
        <v>4</v>
      </c>
    </row>
    <row r="351" spans="1:4" x14ac:dyDescent="0.35">
      <c r="A351" s="2">
        <v>44986</v>
      </c>
      <c r="B351" t="s">
        <v>24</v>
      </c>
      <c r="C351" t="s">
        <v>31</v>
      </c>
      <c r="D351">
        <v>5065</v>
      </c>
    </row>
    <row r="352" spans="1:4" x14ac:dyDescent="0.35">
      <c r="A352" s="2">
        <v>44986</v>
      </c>
      <c r="B352" t="s">
        <v>24</v>
      </c>
      <c r="C352" t="s">
        <v>32</v>
      </c>
      <c r="D352">
        <v>372</v>
      </c>
    </row>
    <row r="353" spans="1:4" x14ac:dyDescent="0.35">
      <c r="A353" s="2">
        <v>44986</v>
      </c>
      <c r="B353" t="s">
        <v>24</v>
      </c>
      <c r="C353" t="s">
        <v>33</v>
      </c>
      <c r="D353">
        <v>2745</v>
      </c>
    </row>
    <row r="354" spans="1:4" x14ac:dyDescent="0.35">
      <c r="A354" s="2">
        <v>44986</v>
      </c>
      <c r="B354" t="s">
        <v>24</v>
      </c>
      <c r="C354" t="s">
        <v>25</v>
      </c>
      <c r="D354">
        <v>348</v>
      </c>
    </row>
    <row r="355" spans="1:4" x14ac:dyDescent="0.35">
      <c r="A355" s="2">
        <v>44986</v>
      </c>
      <c r="B355" t="s">
        <v>24</v>
      </c>
      <c r="C355" t="s">
        <v>34</v>
      </c>
      <c r="D355">
        <v>35</v>
      </c>
    </row>
    <row r="356" spans="1:4" x14ac:dyDescent="0.35">
      <c r="A356" s="2">
        <v>44986</v>
      </c>
      <c r="B356" t="s">
        <v>24</v>
      </c>
      <c r="C356" t="s">
        <v>26</v>
      </c>
      <c r="D356">
        <v>151</v>
      </c>
    </row>
    <row r="357" spans="1:4" x14ac:dyDescent="0.35">
      <c r="A357" s="2">
        <v>44986</v>
      </c>
      <c r="B357" t="s">
        <v>24</v>
      </c>
      <c r="C357" t="s">
        <v>27</v>
      </c>
      <c r="D357">
        <v>40</v>
      </c>
    </row>
    <row r="358" spans="1:4" x14ac:dyDescent="0.35">
      <c r="A358" s="2">
        <v>44986</v>
      </c>
      <c r="B358" t="s">
        <v>24</v>
      </c>
      <c r="C358" t="s">
        <v>30</v>
      </c>
      <c r="D358">
        <v>10</v>
      </c>
    </row>
    <row r="359" spans="1:4" x14ac:dyDescent="0.35">
      <c r="A359" s="2">
        <v>44986</v>
      </c>
      <c r="B359" t="s">
        <v>24</v>
      </c>
      <c r="C359" t="s">
        <v>28</v>
      </c>
      <c r="D359">
        <v>37</v>
      </c>
    </row>
    <row r="360" spans="1:4" x14ac:dyDescent="0.35">
      <c r="A360" s="2">
        <v>44986</v>
      </c>
      <c r="B360" t="s">
        <v>24</v>
      </c>
      <c r="C360" t="s">
        <v>29</v>
      </c>
      <c r="D360">
        <v>17</v>
      </c>
    </row>
    <row r="361" spans="1:4" x14ac:dyDescent="0.35">
      <c r="A361" s="2">
        <v>45352</v>
      </c>
      <c r="B361" t="s">
        <v>24</v>
      </c>
      <c r="C361" t="s">
        <v>31</v>
      </c>
      <c r="D361">
        <v>6606</v>
      </c>
    </row>
    <row r="362" spans="1:4" x14ac:dyDescent="0.35">
      <c r="A362" s="2">
        <v>45352</v>
      </c>
      <c r="B362" t="s">
        <v>24</v>
      </c>
      <c r="C362" t="s">
        <v>32</v>
      </c>
      <c r="D362">
        <v>885</v>
      </c>
    </row>
    <row r="363" spans="1:4" x14ac:dyDescent="0.35">
      <c r="A363" s="2">
        <v>45352</v>
      </c>
      <c r="B363" t="s">
        <v>24</v>
      </c>
      <c r="C363" t="s">
        <v>33</v>
      </c>
      <c r="D363">
        <v>708</v>
      </c>
    </row>
    <row r="364" spans="1:4" x14ac:dyDescent="0.35">
      <c r="A364" s="2">
        <v>45352</v>
      </c>
      <c r="B364" t="s">
        <v>24</v>
      </c>
      <c r="C364" t="s">
        <v>25</v>
      </c>
      <c r="D364">
        <v>142</v>
      </c>
    </row>
    <row r="365" spans="1:4" x14ac:dyDescent="0.35">
      <c r="A365" s="2">
        <v>45352</v>
      </c>
      <c r="B365" t="s">
        <v>24</v>
      </c>
      <c r="C365" t="s">
        <v>34</v>
      </c>
      <c r="D365">
        <v>116</v>
      </c>
    </row>
    <row r="366" spans="1:4" x14ac:dyDescent="0.35">
      <c r="A366" s="2">
        <v>45352</v>
      </c>
      <c r="B366" t="s">
        <v>24</v>
      </c>
      <c r="C366" t="s">
        <v>26</v>
      </c>
      <c r="D366">
        <v>130</v>
      </c>
    </row>
    <row r="367" spans="1:4" x14ac:dyDescent="0.35">
      <c r="A367" s="2">
        <v>45352</v>
      </c>
      <c r="B367" t="s">
        <v>24</v>
      </c>
      <c r="C367" t="s">
        <v>27</v>
      </c>
      <c r="D367">
        <v>55</v>
      </c>
    </row>
    <row r="368" spans="1:4" x14ac:dyDescent="0.35">
      <c r="A368" s="2">
        <v>45352</v>
      </c>
      <c r="B368" t="s">
        <v>24</v>
      </c>
      <c r="C368" t="s">
        <v>30</v>
      </c>
      <c r="D368">
        <v>31</v>
      </c>
    </row>
    <row r="369" spans="1:4" x14ac:dyDescent="0.35">
      <c r="A369" s="2">
        <v>45352</v>
      </c>
      <c r="B369" t="s">
        <v>24</v>
      </c>
      <c r="C369" t="s">
        <v>28</v>
      </c>
      <c r="D369">
        <v>39</v>
      </c>
    </row>
    <row r="370" spans="1:4" x14ac:dyDescent="0.35">
      <c r="A370" s="2">
        <v>45352</v>
      </c>
      <c r="B370" t="s">
        <v>24</v>
      </c>
      <c r="C370" t="s">
        <v>29</v>
      </c>
      <c r="D370">
        <v>26</v>
      </c>
    </row>
    <row r="371" spans="1:4" x14ac:dyDescent="0.35">
      <c r="A371" s="2">
        <v>44287</v>
      </c>
      <c r="B371" t="s">
        <v>21</v>
      </c>
      <c r="C371" t="s">
        <v>35</v>
      </c>
      <c r="D371">
        <v>759</v>
      </c>
    </row>
    <row r="372" spans="1:4" x14ac:dyDescent="0.35">
      <c r="A372" s="2">
        <v>44287</v>
      </c>
      <c r="B372" t="s">
        <v>21</v>
      </c>
      <c r="C372" t="s">
        <v>36</v>
      </c>
      <c r="D372">
        <v>1251</v>
      </c>
    </row>
    <row r="373" spans="1:4" x14ac:dyDescent="0.35">
      <c r="A373" s="2">
        <v>44287</v>
      </c>
      <c r="B373" t="s">
        <v>21</v>
      </c>
      <c r="C373" t="s">
        <v>37</v>
      </c>
      <c r="D373">
        <v>751</v>
      </c>
    </row>
    <row r="374" spans="1:4" x14ac:dyDescent="0.35">
      <c r="A374" s="2">
        <v>44287</v>
      </c>
      <c r="B374" t="s">
        <v>21</v>
      </c>
      <c r="C374" t="s">
        <v>38</v>
      </c>
      <c r="D374">
        <v>903</v>
      </c>
    </row>
    <row r="375" spans="1:4" x14ac:dyDescent="0.35">
      <c r="A375" s="2">
        <v>44287</v>
      </c>
      <c r="B375" t="s">
        <v>21</v>
      </c>
      <c r="C375" t="s">
        <v>39</v>
      </c>
      <c r="D375">
        <v>581</v>
      </c>
    </row>
    <row r="376" spans="1:4" x14ac:dyDescent="0.35">
      <c r="A376" s="2">
        <v>44287</v>
      </c>
      <c r="B376" t="s">
        <v>21</v>
      </c>
      <c r="C376" t="s">
        <v>40</v>
      </c>
      <c r="D376">
        <v>302</v>
      </c>
    </row>
    <row r="377" spans="1:4" x14ac:dyDescent="0.35">
      <c r="A377" s="2">
        <v>44287</v>
      </c>
      <c r="B377" t="s">
        <v>21</v>
      </c>
      <c r="C377" t="s">
        <v>41</v>
      </c>
      <c r="D377">
        <v>138</v>
      </c>
    </row>
    <row r="378" spans="1:4" x14ac:dyDescent="0.35">
      <c r="A378" s="2">
        <v>44287</v>
      </c>
      <c r="B378" t="s">
        <v>21</v>
      </c>
      <c r="C378" t="s">
        <v>42</v>
      </c>
      <c r="D378">
        <v>48</v>
      </c>
    </row>
    <row r="379" spans="1:4" x14ac:dyDescent="0.35">
      <c r="A379" s="2">
        <v>44287</v>
      </c>
      <c r="B379" t="s">
        <v>21</v>
      </c>
      <c r="C379" t="s">
        <v>43</v>
      </c>
      <c r="D379">
        <v>171</v>
      </c>
    </row>
    <row r="380" spans="1:4" x14ac:dyDescent="0.35">
      <c r="A380" s="2">
        <v>44287</v>
      </c>
      <c r="B380" t="s">
        <v>21</v>
      </c>
      <c r="C380" t="s">
        <v>44</v>
      </c>
      <c r="D380">
        <v>36</v>
      </c>
    </row>
    <row r="381" spans="1:4" x14ac:dyDescent="0.35">
      <c r="A381" s="2">
        <v>44287</v>
      </c>
      <c r="B381" t="s">
        <v>21</v>
      </c>
      <c r="C381" t="s">
        <v>45</v>
      </c>
      <c r="D381">
        <v>749</v>
      </c>
    </row>
    <row r="382" spans="1:4" x14ac:dyDescent="0.35">
      <c r="A382" s="2">
        <v>44652</v>
      </c>
      <c r="B382" t="s">
        <v>21</v>
      </c>
      <c r="C382" t="s">
        <v>22</v>
      </c>
      <c r="D382">
        <v>13601</v>
      </c>
    </row>
    <row r="383" spans="1:4" x14ac:dyDescent="0.35">
      <c r="A383" s="2">
        <v>44652</v>
      </c>
      <c r="B383" t="s">
        <v>21</v>
      </c>
      <c r="C383" t="s">
        <v>36</v>
      </c>
      <c r="D383">
        <v>11341</v>
      </c>
    </row>
    <row r="384" spans="1:4" x14ac:dyDescent="0.35">
      <c r="A384" s="2">
        <v>44652</v>
      </c>
      <c r="B384" t="s">
        <v>21</v>
      </c>
      <c r="C384" t="s">
        <v>35</v>
      </c>
      <c r="D384">
        <v>6803</v>
      </c>
    </row>
    <row r="385" spans="1:4" x14ac:dyDescent="0.35">
      <c r="A385" s="2">
        <v>44652</v>
      </c>
      <c r="B385" t="s">
        <v>21</v>
      </c>
      <c r="C385" t="s">
        <v>37</v>
      </c>
      <c r="D385">
        <v>6864</v>
      </c>
    </row>
    <row r="386" spans="1:4" x14ac:dyDescent="0.35">
      <c r="A386" s="2">
        <v>44652</v>
      </c>
      <c r="B386" t="s">
        <v>21</v>
      </c>
      <c r="C386" t="s">
        <v>40</v>
      </c>
      <c r="D386">
        <v>1498</v>
      </c>
    </row>
    <row r="387" spans="1:4" x14ac:dyDescent="0.35">
      <c r="A387" s="2">
        <v>44652</v>
      </c>
      <c r="B387" t="s">
        <v>21</v>
      </c>
      <c r="C387" t="s">
        <v>38</v>
      </c>
      <c r="D387">
        <v>2451</v>
      </c>
    </row>
    <row r="388" spans="1:4" x14ac:dyDescent="0.35">
      <c r="A388" s="2">
        <v>44652</v>
      </c>
      <c r="B388" t="s">
        <v>21</v>
      </c>
      <c r="C388" t="s">
        <v>42</v>
      </c>
      <c r="D388">
        <v>1223</v>
      </c>
    </row>
    <row r="389" spans="1:4" x14ac:dyDescent="0.35">
      <c r="A389" s="2">
        <v>44652</v>
      </c>
      <c r="B389" t="s">
        <v>21</v>
      </c>
      <c r="C389" t="s">
        <v>41</v>
      </c>
      <c r="D389">
        <v>1241</v>
      </c>
    </row>
    <row r="390" spans="1:4" x14ac:dyDescent="0.35">
      <c r="A390" s="2">
        <v>44652</v>
      </c>
      <c r="B390" t="s">
        <v>21</v>
      </c>
      <c r="C390" t="s">
        <v>39</v>
      </c>
      <c r="D390">
        <v>1756</v>
      </c>
    </row>
    <row r="391" spans="1:4" x14ac:dyDescent="0.35">
      <c r="A391" s="2">
        <v>44652</v>
      </c>
      <c r="B391" t="s">
        <v>21</v>
      </c>
      <c r="C391" t="s">
        <v>43</v>
      </c>
      <c r="D391">
        <v>874</v>
      </c>
    </row>
    <row r="392" spans="1:4" x14ac:dyDescent="0.35">
      <c r="A392" s="2">
        <v>44652</v>
      </c>
      <c r="B392" t="s">
        <v>21</v>
      </c>
      <c r="C392" t="s">
        <v>44</v>
      </c>
      <c r="D392">
        <v>940</v>
      </c>
    </row>
    <row r="393" spans="1:4" x14ac:dyDescent="0.35">
      <c r="A393" s="2">
        <v>44652</v>
      </c>
      <c r="B393" t="s">
        <v>21</v>
      </c>
      <c r="C393" t="s">
        <v>45</v>
      </c>
      <c r="D393">
        <v>4683</v>
      </c>
    </row>
    <row r="394" spans="1:4" x14ac:dyDescent="0.35">
      <c r="A394" s="2">
        <v>45017</v>
      </c>
      <c r="B394" t="s">
        <v>21</v>
      </c>
      <c r="C394" t="s">
        <v>22</v>
      </c>
      <c r="D394">
        <v>22548</v>
      </c>
    </row>
    <row r="395" spans="1:4" x14ac:dyDescent="0.35">
      <c r="A395" s="2">
        <v>45017</v>
      </c>
      <c r="B395" t="s">
        <v>21</v>
      </c>
      <c r="C395" t="s">
        <v>40</v>
      </c>
      <c r="D395">
        <v>8654</v>
      </c>
    </row>
    <row r="396" spans="1:4" x14ac:dyDescent="0.35">
      <c r="A396" s="2">
        <v>45017</v>
      </c>
      <c r="B396" t="s">
        <v>21</v>
      </c>
      <c r="C396" t="s">
        <v>38</v>
      </c>
      <c r="D396">
        <v>7707</v>
      </c>
    </row>
    <row r="397" spans="1:4" x14ac:dyDescent="0.35">
      <c r="A397" s="2">
        <v>45017</v>
      </c>
      <c r="B397" t="s">
        <v>21</v>
      </c>
      <c r="C397" t="s">
        <v>42</v>
      </c>
      <c r="D397">
        <v>4043</v>
      </c>
    </row>
    <row r="398" spans="1:4" x14ac:dyDescent="0.35">
      <c r="A398" s="2">
        <v>45017</v>
      </c>
      <c r="B398" t="s">
        <v>21</v>
      </c>
      <c r="C398" t="s">
        <v>37</v>
      </c>
      <c r="D398">
        <v>8767</v>
      </c>
    </row>
    <row r="399" spans="1:4" x14ac:dyDescent="0.35">
      <c r="A399" s="2">
        <v>45017</v>
      </c>
      <c r="B399" t="s">
        <v>21</v>
      </c>
      <c r="C399" t="s">
        <v>36</v>
      </c>
      <c r="D399">
        <v>3179</v>
      </c>
    </row>
    <row r="400" spans="1:4" x14ac:dyDescent="0.35">
      <c r="A400" s="2">
        <v>45017</v>
      </c>
      <c r="B400" t="s">
        <v>21</v>
      </c>
      <c r="C400" t="s">
        <v>35</v>
      </c>
      <c r="D400">
        <v>3293</v>
      </c>
    </row>
    <row r="401" spans="1:4" x14ac:dyDescent="0.35">
      <c r="A401" s="2">
        <v>45017</v>
      </c>
      <c r="B401" t="s">
        <v>21</v>
      </c>
      <c r="C401" t="s">
        <v>23</v>
      </c>
      <c r="D401">
        <v>1544</v>
      </c>
    </row>
    <row r="402" spans="1:4" x14ac:dyDescent="0.35">
      <c r="A402" s="2">
        <v>45017</v>
      </c>
      <c r="B402" t="s">
        <v>21</v>
      </c>
      <c r="C402" t="s">
        <v>46</v>
      </c>
      <c r="D402">
        <v>762</v>
      </c>
    </row>
    <row r="403" spans="1:4" x14ac:dyDescent="0.35">
      <c r="A403" s="2">
        <v>45017</v>
      </c>
      <c r="B403" t="s">
        <v>21</v>
      </c>
      <c r="C403" t="s">
        <v>47</v>
      </c>
      <c r="D403">
        <v>644</v>
      </c>
    </row>
    <row r="404" spans="1:4" x14ac:dyDescent="0.35">
      <c r="A404" s="2">
        <v>45017</v>
      </c>
      <c r="B404" t="s">
        <v>21</v>
      </c>
      <c r="C404" t="s">
        <v>48</v>
      </c>
      <c r="D404">
        <v>838</v>
      </c>
    </row>
    <row r="405" spans="1:4" x14ac:dyDescent="0.35">
      <c r="A405" s="2">
        <v>45017</v>
      </c>
      <c r="B405" t="s">
        <v>21</v>
      </c>
      <c r="C405" t="s">
        <v>41</v>
      </c>
      <c r="D405">
        <v>520</v>
      </c>
    </row>
    <row r="406" spans="1:4" x14ac:dyDescent="0.35">
      <c r="A406" s="2">
        <v>45017</v>
      </c>
      <c r="B406" t="s">
        <v>21</v>
      </c>
      <c r="C406" t="s">
        <v>45</v>
      </c>
      <c r="D406">
        <v>4315</v>
      </c>
    </row>
    <row r="407" spans="1:4" x14ac:dyDescent="0.35">
      <c r="A407" s="2">
        <v>44317</v>
      </c>
      <c r="B407" t="s">
        <v>21</v>
      </c>
      <c r="C407" t="s">
        <v>35</v>
      </c>
      <c r="D407">
        <v>170</v>
      </c>
    </row>
    <row r="408" spans="1:4" x14ac:dyDescent="0.35">
      <c r="A408" s="2">
        <v>44317</v>
      </c>
      <c r="B408" t="s">
        <v>21</v>
      </c>
      <c r="C408" t="s">
        <v>36</v>
      </c>
      <c r="D408">
        <v>245</v>
      </c>
    </row>
    <row r="409" spans="1:4" x14ac:dyDescent="0.35">
      <c r="A409" s="2">
        <v>44317</v>
      </c>
      <c r="B409" t="s">
        <v>21</v>
      </c>
      <c r="C409" t="s">
        <v>37</v>
      </c>
      <c r="D409">
        <v>147</v>
      </c>
    </row>
    <row r="410" spans="1:4" x14ac:dyDescent="0.35">
      <c r="A410" s="2">
        <v>44317</v>
      </c>
      <c r="B410" t="s">
        <v>21</v>
      </c>
      <c r="C410" t="s">
        <v>38</v>
      </c>
      <c r="D410">
        <v>160</v>
      </c>
    </row>
    <row r="411" spans="1:4" x14ac:dyDescent="0.35">
      <c r="A411" s="2">
        <v>44317</v>
      </c>
      <c r="B411" t="s">
        <v>21</v>
      </c>
      <c r="C411" t="s">
        <v>39</v>
      </c>
      <c r="D411">
        <v>122</v>
      </c>
    </row>
    <row r="412" spans="1:4" x14ac:dyDescent="0.35">
      <c r="A412" s="2">
        <v>44317</v>
      </c>
      <c r="B412" t="s">
        <v>21</v>
      </c>
      <c r="C412" t="s">
        <v>40</v>
      </c>
      <c r="D412">
        <v>9</v>
      </c>
    </row>
    <row r="413" spans="1:4" x14ac:dyDescent="0.35">
      <c r="A413" s="2">
        <v>44317</v>
      </c>
      <c r="B413" t="s">
        <v>21</v>
      </c>
      <c r="C413" t="s">
        <v>41</v>
      </c>
      <c r="D413">
        <v>42</v>
      </c>
    </row>
    <row r="414" spans="1:4" x14ac:dyDescent="0.35">
      <c r="A414" s="2">
        <v>44317</v>
      </c>
      <c r="B414" t="s">
        <v>21</v>
      </c>
      <c r="C414" t="s">
        <v>42</v>
      </c>
      <c r="D414">
        <v>20</v>
      </c>
    </row>
    <row r="415" spans="1:4" x14ac:dyDescent="0.35">
      <c r="A415" s="2">
        <v>44317</v>
      </c>
      <c r="B415" t="s">
        <v>21</v>
      </c>
      <c r="C415" t="s">
        <v>43</v>
      </c>
      <c r="D415">
        <v>54</v>
      </c>
    </row>
    <row r="416" spans="1:4" x14ac:dyDescent="0.35">
      <c r="A416" s="2">
        <v>44317</v>
      </c>
      <c r="B416" t="s">
        <v>21</v>
      </c>
      <c r="C416" t="s">
        <v>44</v>
      </c>
      <c r="D416">
        <v>13</v>
      </c>
    </row>
    <row r="417" spans="1:4" x14ac:dyDescent="0.35">
      <c r="A417" s="2">
        <v>44317</v>
      </c>
      <c r="B417" t="s">
        <v>21</v>
      </c>
      <c r="C417" t="s">
        <v>45</v>
      </c>
      <c r="D417">
        <v>260</v>
      </c>
    </row>
    <row r="418" spans="1:4" x14ac:dyDescent="0.35">
      <c r="A418" s="2">
        <v>44682</v>
      </c>
      <c r="B418" t="s">
        <v>21</v>
      </c>
      <c r="C418" t="s">
        <v>22</v>
      </c>
      <c r="D418">
        <v>9266</v>
      </c>
    </row>
    <row r="419" spans="1:4" x14ac:dyDescent="0.35">
      <c r="A419" s="2">
        <v>44682</v>
      </c>
      <c r="B419" t="s">
        <v>21</v>
      </c>
      <c r="C419" t="s">
        <v>36</v>
      </c>
      <c r="D419">
        <v>10340</v>
      </c>
    </row>
    <row r="420" spans="1:4" x14ac:dyDescent="0.35">
      <c r="A420" s="2">
        <v>44682</v>
      </c>
      <c r="B420" t="s">
        <v>21</v>
      </c>
      <c r="C420" t="s">
        <v>35</v>
      </c>
      <c r="D420">
        <v>2970</v>
      </c>
    </row>
    <row r="421" spans="1:4" x14ac:dyDescent="0.35">
      <c r="A421" s="2">
        <v>44682</v>
      </c>
      <c r="B421" t="s">
        <v>21</v>
      </c>
      <c r="C421" t="s">
        <v>37</v>
      </c>
      <c r="D421">
        <v>6176</v>
      </c>
    </row>
    <row r="422" spans="1:4" x14ac:dyDescent="0.35">
      <c r="A422" s="2">
        <v>44682</v>
      </c>
      <c r="B422" t="s">
        <v>21</v>
      </c>
      <c r="C422" t="s">
        <v>40</v>
      </c>
      <c r="D422">
        <v>478</v>
      </c>
    </row>
    <row r="423" spans="1:4" x14ac:dyDescent="0.35">
      <c r="A423" s="2">
        <v>44682</v>
      </c>
      <c r="B423" t="s">
        <v>21</v>
      </c>
      <c r="C423" t="s">
        <v>38</v>
      </c>
      <c r="D423">
        <v>3337</v>
      </c>
    </row>
    <row r="424" spans="1:4" x14ac:dyDescent="0.35">
      <c r="A424" s="2">
        <v>44682</v>
      </c>
      <c r="B424" t="s">
        <v>21</v>
      </c>
      <c r="C424" t="s">
        <v>42</v>
      </c>
      <c r="D424">
        <v>1812</v>
      </c>
    </row>
    <row r="425" spans="1:4" x14ac:dyDescent="0.35">
      <c r="A425" s="2">
        <v>44682</v>
      </c>
      <c r="B425" t="s">
        <v>21</v>
      </c>
      <c r="C425" t="s">
        <v>23</v>
      </c>
      <c r="D425">
        <v>19</v>
      </c>
    </row>
    <row r="426" spans="1:4" x14ac:dyDescent="0.35">
      <c r="A426" s="2">
        <v>44682</v>
      </c>
      <c r="B426" t="s">
        <v>21</v>
      </c>
      <c r="C426" t="s">
        <v>41</v>
      </c>
      <c r="D426">
        <v>1589</v>
      </c>
    </row>
    <row r="427" spans="1:4" x14ac:dyDescent="0.35">
      <c r="A427" s="2">
        <v>44682</v>
      </c>
      <c r="B427" t="s">
        <v>21</v>
      </c>
      <c r="C427" t="s">
        <v>39</v>
      </c>
      <c r="D427">
        <v>1464</v>
      </c>
    </row>
    <row r="428" spans="1:4" x14ac:dyDescent="0.35">
      <c r="A428" s="2">
        <v>44682</v>
      </c>
      <c r="B428" t="s">
        <v>21</v>
      </c>
      <c r="C428" t="s">
        <v>43</v>
      </c>
      <c r="D428">
        <v>862</v>
      </c>
    </row>
    <row r="429" spans="1:4" x14ac:dyDescent="0.35">
      <c r="A429" s="2">
        <v>44682</v>
      </c>
      <c r="B429" t="s">
        <v>21</v>
      </c>
      <c r="C429" t="s">
        <v>44</v>
      </c>
      <c r="D429">
        <v>646</v>
      </c>
    </row>
    <row r="430" spans="1:4" x14ac:dyDescent="0.35">
      <c r="A430" s="2">
        <v>44682</v>
      </c>
      <c r="B430" t="s">
        <v>21</v>
      </c>
      <c r="C430" t="s">
        <v>45</v>
      </c>
      <c r="D430">
        <v>3455</v>
      </c>
    </row>
    <row r="431" spans="1:4" x14ac:dyDescent="0.35">
      <c r="A431" s="2">
        <v>45047</v>
      </c>
      <c r="B431" t="s">
        <v>21</v>
      </c>
      <c r="C431" t="s">
        <v>22</v>
      </c>
      <c r="D431">
        <v>29447</v>
      </c>
    </row>
    <row r="432" spans="1:4" x14ac:dyDescent="0.35">
      <c r="A432" s="2">
        <v>45047</v>
      </c>
      <c r="B432" t="s">
        <v>21</v>
      </c>
      <c r="C432" t="s">
        <v>40</v>
      </c>
      <c r="D432">
        <v>20188</v>
      </c>
    </row>
    <row r="433" spans="1:4" x14ac:dyDescent="0.35">
      <c r="A433" s="2">
        <v>45047</v>
      </c>
      <c r="B433" t="s">
        <v>21</v>
      </c>
      <c r="C433" t="s">
        <v>38</v>
      </c>
      <c r="D433">
        <v>15243</v>
      </c>
    </row>
    <row r="434" spans="1:4" x14ac:dyDescent="0.35">
      <c r="A434" s="2">
        <v>45047</v>
      </c>
      <c r="B434" t="s">
        <v>21</v>
      </c>
      <c r="C434" t="s">
        <v>42</v>
      </c>
      <c r="D434">
        <v>9976</v>
      </c>
    </row>
    <row r="435" spans="1:4" x14ac:dyDescent="0.35">
      <c r="A435" s="2">
        <v>45047</v>
      </c>
      <c r="B435" t="s">
        <v>21</v>
      </c>
      <c r="C435" t="s">
        <v>37</v>
      </c>
      <c r="D435">
        <v>10659</v>
      </c>
    </row>
    <row r="436" spans="1:4" x14ac:dyDescent="0.35">
      <c r="A436" s="2">
        <v>45047</v>
      </c>
      <c r="B436" t="s">
        <v>21</v>
      </c>
      <c r="C436" t="s">
        <v>36</v>
      </c>
      <c r="D436">
        <v>2873</v>
      </c>
    </row>
    <row r="437" spans="1:4" x14ac:dyDescent="0.35">
      <c r="A437" s="2">
        <v>45047</v>
      </c>
      <c r="B437" t="s">
        <v>21</v>
      </c>
      <c r="C437" t="s">
        <v>35</v>
      </c>
      <c r="D437">
        <v>2085</v>
      </c>
    </row>
    <row r="438" spans="1:4" x14ac:dyDescent="0.35">
      <c r="A438" s="2">
        <v>45047</v>
      </c>
      <c r="B438" t="s">
        <v>21</v>
      </c>
      <c r="C438" t="s">
        <v>23</v>
      </c>
      <c r="D438">
        <v>3831</v>
      </c>
    </row>
    <row r="439" spans="1:4" x14ac:dyDescent="0.35">
      <c r="A439" s="2">
        <v>45047</v>
      </c>
      <c r="B439" t="s">
        <v>21</v>
      </c>
      <c r="C439" t="s">
        <v>46</v>
      </c>
      <c r="D439">
        <v>1792</v>
      </c>
    </row>
    <row r="440" spans="1:4" x14ac:dyDescent="0.35">
      <c r="A440" s="2">
        <v>45047</v>
      </c>
      <c r="B440" t="s">
        <v>21</v>
      </c>
      <c r="C440" t="s">
        <v>47</v>
      </c>
      <c r="D440">
        <v>1185</v>
      </c>
    </row>
    <row r="441" spans="1:4" x14ac:dyDescent="0.35">
      <c r="A441" s="2">
        <v>45047</v>
      </c>
      <c r="B441" t="s">
        <v>21</v>
      </c>
      <c r="C441" t="s">
        <v>48</v>
      </c>
      <c r="D441">
        <v>886</v>
      </c>
    </row>
    <row r="442" spans="1:4" x14ac:dyDescent="0.35">
      <c r="A442" s="2">
        <v>45047</v>
      </c>
      <c r="B442" t="s">
        <v>21</v>
      </c>
      <c r="C442" t="s">
        <v>41</v>
      </c>
      <c r="D442">
        <v>565</v>
      </c>
    </row>
    <row r="443" spans="1:4" x14ac:dyDescent="0.35">
      <c r="A443" s="2">
        <v>45047</v>
      </c>
      <c r="B443" t="s">
        <v>21</v>
      </c>
      <c r="C443" t="s">
        <v>45</v>
      </c>
      <c r="D443">
        <v>6627</v>
      </c>
    </row>
    <row r="444" spans="1:4" x14ac:dyDescent="0.35">
      <c r="A444" s="2">
        <v>44348</v>
      </c>
      <c r="B444" t="s">
        <v>21</v>
      </c>
      <c r="C444" t="s">
        <v>35</v>
      </c>
      <c r="D444">
        <v>1355</v>
      </c>
    </row>
    <row r="445" spans="1:4" x14ac:dyDescent="0.35">
      <c r="A445" s="2">
        <v>44348</v>
      </c>
      <c r="B445" t="s">
        <v>21</v>
      </c>
      <c r="C445" t="s">
        <v>36</v>
      </c>
      <c r="D445">
        <v>984</v>
      </c>
    </row>
    <row r="446" spans="1:4" x14ac:dyDescent="0.35">
      <c r="A446" s="2">
        <v>44348</v>
      </c>
      <c r="B446" t="s">
        <v>21</v>
      </c>
      <c r="C446" t="s">
        <v>37</v>
      </c>
      <c r="D446">
        <v>299</v>
      </c>
    </row>
    <row r="447" spans="1:4" x14ac:dyDescent="0.35">
      <c r="A447" s="2">
        <v>44348</v>
      </c>
      <c r="B447" t="s">
        <v>21</v>
      </c>
      <c r="C447" t="s">
        <v>38</v>
      </c>
      <c r="D447">
        <v>320</v>
      </c>
    </row>
    <row r="448" spans="1:4" x14ac:dyDescent="0.35">
      <c r="A448" s="2">
        <v>44348</v>
      </c>
      <c r="B448" t="s">
        <v>21</v>
      </c>
      <c r="C448" t="s">
        <v>39</v>
      </c>
      <c r="D448">
        <v>460</v>
      </c>
    </row>
    <row r="449" spans="1:4" x14ac:dyDescent="0.35">
      <c r="A449" s="2">
        <v>44348</v>
      </c>
      <c r="B449" t="s">
        <v>21</v>
      </c>
      <c r="C449" t="s">
        <v>40</v>
      </c>
      <c r="D449">
        <v>208</v>
      </c>
    </row>
    <row r="450" spans="1:4" x14ac:dyDescent="0.35">
      <c r="A450" s="2">
        <v>44348</v>
      </c>
      <c r="B450" t="s">
        <v>21</v>
      </c>
      <c r="C450" t="s">
        <v>41</v>
      </c>
      <c r="D450">
        <v>59</v>
      </c>
    </row>
    <row r="451" spans="1:4" x14ac:dyDescent="0.35">
      <c r="A451" s="2">
        <v>44348</v>
      </c>
      <c r="B451" t="s">
        <v>21</v>
      </c>
      <c r="C451" t="s">
        <v>42</v>
      </c>
      <c r="D451">
        <v>176</v>
      </c>
    </row>
    <row r="452" spans="1:4" x14ac:dyDescent="0.35">
      <c r="A452" s="2">
        <v>44348</v>
      </c>
      <c r="B452" t="s">
        <v>21</v>
      </c>
      <c r="C452" t="s">
        <v>43</v>
      </c>
      <c r="D452">
        <v>198</v>
      </c>
    </row>
    <row r="453" spans="1:4" x14ac:dyDescent="0.35">
      <c r="A453" s="2">
        <v>44348</v>
      </c>
      <c r="B453" t="s">
        <v>21</v>
      </c>
      <c r="C453" t="s">
        <v>44</v>
      </c>
      <c r="D453">
        <v>43</v>
      </c>
    </row>
    <row r="454" spans="1:4" x14ac:dyDescent="0.35">
      <c r="A454" s="2">
        <v>44348</v>
      </c>
      <c r="B454" t="s">
        <v>21</v>
      </c>
      <c r="C454" t="s">
        <v>45</v>
      </c>
      <c r="D454">
        <v>567</v>
      </c>
    </row>
    <row r="455" spans="1:4" x14ac:dyDescent="0.35">
      <c r="A455" s="2">
        <v>44713</v>
      </c>
      <c r="B455" t="s">
        <v>21</v>
      </c>
      <c r="C455" t="s">
        <v>22</v>
      </c>
      <c r="D455">
        <v>5897</v>
      </c>
    </row>
    <row r="456" spans="1:4" x14ac:dyDescent="0.35">
      <c r="A456" s="2">
        <v>44713</v>
      </c>
      <c r="B456" t="s">
        <v>21</v>
      </c>
      <c r="C456" t="s">
        <v>36</v>
      </c>
      <c r="D456">
        <v>7554</v>
      </c>
    </row>
    <row r="457" spans="1:4" x14ac:dyDescent="0.35">
      <c r="A457" s="2">
        <v>44713</v>
      </c>
      <c r="B457" t="s">
        <v>21</v>
      </c>
      <c r="C457" t="s">
        <v>35</v>
      </c>
      <c r="D457">
        <v>6836</v>
      </c>
    </row>
    <row r="458" spans="1:4" x14ac:dyDescent="0.35">
      <c r="A458" s="2">
        <v>44713</v>
      </c>
      <c r="B458" t="s">
        <v>21</v>
      </c>
      <c r="C458" t="s">
        <v>37</v>
      </c>
      <c r="D458">
        <v>6919</v>
      </c>
    </row>
    <row r="459" spans="1:4" x14ac:dyDescent="0.35">
      <c r="A459" s="2">
        <v>44713</v>
      </c>
      <c r="B459" t="s">
        <v>21</v>
      </c>
      <c r="C459" t="s">
        <v>40</v>
      </c>
      <c r="D459">
        <v>1983</v>
      </c>
    </row>
    <row r="460" spans="1:4" x14ac:dyDescent="0.35">
      <c r="A460" s="2">
        <v>44713</v>
      </c>
      <c r="B460" t="s">
        <v>21</v>
      </c>
      <c r="C460" t="s">
        <v>38</v>
      </c>
      <c r="D460">
        <v>3829</v>
      </c>
    </row>
    <row r="461" spans="1:4" x14ac:dyDescent="0.35">
      <c r="A461" s="2">
        <v>44713</v>
      </c>
      <c r="B461" t="s">
        <v>21</v>
      </c>
      <c r="C461" t="s">
        <v>42</v>
      </c>
      <c r="D461">
        <v>1824</v>
      </c>
    </row>
    <row r="462" spans="1:4" x14ac:dyDescent="0.35">
      <c r="A462" s="2">
        <v>44713</v>
      </c>
      <c r="B462" t="s">
        <v>21</v>
      </c>
      <c r="C462" t="s">
        <v>23</v>
      </c>
      <c r="D462">
        <v>760</v>
      </c>
    </row>
    <row r="463" spans="1:4" x14ac:dyDescent="0.35">
      <c r="A463" s="2">
        <v>44713</v>
      </c>
      <c r="B463" t="s">
        <v>21</v>
      </c>
      <c r="C463" t="s">
        <v>41</v>
      </c>
      <c r="D463">
        <v>2423</v>
      </c>
    </row>
    <row r="464" spans="1:4" x14ac:dyDescent="0.35">
      <c r="A464" s="2">
        <v>44713</v>
      </c>
      <c r="B464" t="s">
        <v>21</v>
      </c>
      <c r="C464" t="s">
        <v>39</v>
      </c>
      <c r="D464">
        <v>1125</v>
      </c>
    </row>
    <row r="465" spans="1:4" x14ac:dyDescent="0.35">
      <c r="A465" s="2">
        <v>44713</v>
      </c>
      <c r="B465" t="s">
        <v>21</v>
      </c>
      <c r="C465" t="s">
        <v>43</v>
      </c>
      <c r="D465">
        <v>1005</v>
      </c>
    </row>
    <row r="466" spans="1:4" x14ac:dyDescent="0.35">
      <c r="A466" s="2">
        <v>44713</v>
      </c>
      <c r="B466" t="s">
        <v>21</v>
      </c>
      <c r="C466" t="s">
        <v>44</v>
      </c>
      <c r="D466">
        <v>568</v>
      </c>
    </row>
    <row r="467" spans="1:4" x14ac:dyDescent="0.35">
      <c r="A467" s="2">
        <v>44713</v>
      </c>
      <c r="B467" t="s">
        <v>21</v>
      </c>
      <c r="C467" t="s">
        <v>45</v>
      </c>
      <c r="D467">
        <v>3658</v>
      </c>
    </row>
    <row r="468" spans="1:4" x14ac:dyDescent="0.35">
      <c r="A468" s="2">
        <v>45078</v>
      </c>
      <c r="B468" t="s">
        <v>21</v>
      </c>
      <c r="C468" t="s">
        <v>22</v>
      </c>
      <c r="D468">
        <v>17768</v>
      </c>
    </row>
    <row r="469" spans="1:4" x14ac:dyDescent="0.35">
      <c r="A469" s="2">
        <v>45078</v>
      </c>
      <c r="B469" t="s">
        <v>21</v>
      </c>
      <c r="C469" t="s">
        <v>40</v>
      </c>
      <c r="D469">
        <v>7772</v>
      </c>
    </row>
    <row r="470" spans="1:4" x14ac:dyDescent="0.35">
      <c r="A470" s="2">
        <v>45078</v>
      </c>
      <c r="B470" t="s">
        <v>21</v>
      </c>
      <c r="C470" t="s">
        <v>38</v>
      </c>
      <c r="D470">
        <v>4547</v>
      </c>
    </row>
    <row r="471" spans="1:4" x14ac:dyDescent="0.35">
      <c r="A471" s="2">
        <v>45078</v>
      </c>
      <c r="B471" t="s">
        <v>21</v>
      </c>
      <c r="C471" t="s">
        <v>42</v>
      </c>
      <c r="D471">
        <v>2975</v>
      </c>
    </row>
    <row r="472" spans="1:4" x14ac:dyDescent="0.35">
      <c r="A472" s="2">
        <v>45078</v>
      </c>
      <c r="B472" t="s">
        <v>21</v>
      </c>
      <c r="C472" t="s">
        <v>37</v>
      </c>
      <c r="D472">
        <v>3006</v>
      </c>
    </row>
    <row r="473" spans="1:4" x14ac:dyDescent="0.35">
      <c r="A473" s="2">
        <v>45078</v>
      </c>
      <c r="B473" t="s">
        <v>21</v>
      </c>
      <c r="C473" t="s">
        <v>36</v>
      </c>
      <c r="D473">
        <v>2588</v>
      </c>
    </row>
    <row r="474" spans="1:4" x14ac:dyDescent="0.35">
      <c r="A474" s="2">
        <v>45078</v>
      </c>
      <c r="B474" t="s">
        <v>21</v>
      </c>
      <c r="C474" t="s">
        <v>35</v>
      </c>
      <c r="D474">
        <v>1123</v>
      </c>
    </row>
    <row r="475" spans="1:4" x14ac:dyDescent="0.35">
      <c r="A475" s="2">
        <v>45078</v>
      </c>
      <c r="B475" t="s">
        <v>21</v>
      </c>
      <c r="C475" t="s">
        <v>23</v>
      </c>
      <c r="D475">
        <v>419</v>
      </c>
    </row>
    <row r="476" spans="1:4" x14ac:dyDescent="0.35">
      <c r="A476" s="2">
        <v>45078</v>
      </c>
      <c r="B476" t="s">
        <v>21</v>
      </c>
      <c r="C476" t="s">
        <v>46</v>
      </c>
      <c r="D476">
        <v>189</v>
      </c>
    </row>
    <row r="477" spans="1:4" x14ac:dyDescent="0.35">
      <c r="A477" s="2">
        <v>45078</v>
      </c>
      <c r="B477" t="s">
        <v>21</v>
      </c>
      <c r="C477" t="s">
        <v>47</v>
      </c>
      <c r="D477">
        <v>82</v>
      </c>
    </row>
    <row r="478" spans="1:4" x14ac:dyDescent="0.35">
      <c r="A478" s="2">
        <v>45078</v>
      </c>
      <c r="B478" t="s">
        <v>21</v>
      </c>
      <c r="C478" t="s">
        <v>48</v>
      </c>
      <c r="D478">
        <v>201</v>
      </c>
    </row>
    <row r="479" spans="1:4" x14ac:dyDescent="0.35">
      <c r="A479" s="2">
        <v>45078</v>
      </c>
      <c r="B479" t="s">
        <v>21</v>
      </c>
      <c r="C479" t="s">
        <v>41</v>
      </c>
      <c r="D479">
        <v>705</v>
      </c>
    </row>
    <row r="480" spans="1:4" x14ac:dyDescent="0.35">
      <c r="A480" s="2">
        <v>45078</v>
      </c>
      <c r="B480" t="s">
        <v>21</v>
      </c>
      <c r="C480" t="s">
        <v>45</v>
      </c>
      <c r="D480">
        <v>4466</v>
      </c>
    </row>
    <row r="481" spans="1:4" x14ac:dyDescent="0.35">
      <c r="A481" s="2">
        <v>44378</v>
      </c>
      <c r="B481" t="s">
        <v>21</v>
      </c>
      <c r="C481" t="s">
        <v>35</v>
      </c>
      <c r="D481">
        <v>4557</v>
      </c>
    </row>
    <row r="482" spans="1:4" x14ac:dyDescent="0.35">
      <c r="A482" s="2">
        <v>44378</v>
      </c>
      <c r="B482" t="s">
        <v>21</v>
      </c>
      <c r="C482" t="s">
        <v>36</v>
      </c>
      <c r="D482">
        <v>2633</v>
      </c>
    </row>
    <row r="483" spans="1:4" x14ac:dyDescent="0.35">
      <c r="A483" s="2">
        <v>44378</v>
      </c>
      <c r="B483" t="s">
        <v>21</v>
      </c>
      <c r="C483" t="s">
        <v>37</v>
      </c>
      <c r="D483">
        <v>663</v>
      </c>
    </row>
    <row r="484" spans="1:4" x14ac:dyDescent="0.35">
      <c r="A484" s="2">
        <v>44378</v>
      </c>
      <c r="B484" t="s">
        <v>21</v>
      </c>
      <c r="C484" t="s">
        <v>38</v>
      </c>
      <c r="D484">
        <v>1799</v>
      </c>
    </row>
    <row r="485" spans="1:4" x14ac:dyDescent="0.35">
      <c r="A485" s="2">
        <v>44378</v>
      </c>
      <c r="B485" t="s">
        <v>21</v>
      </c>
      <c r="C485" t="s">
        <v>39</v>
      </c>
      <c r="D485">
        <v>1417</v>
      </c>
    </row>
    <row r="486" spans="1:4" x14ac:dyDescent="0.35">
      <c r="A486" s="2">
        <v>44378</v>
      </c>
      <c r="B486" t="s">
        <v>21</v>
      </c>
      <c r="C486" t="s">
        <v>40</v>
      </c>
      <c r="D486">
        <v>648</v>
      </c>
    </row>
    <row r="487" spans="1:4" x14ac:dyDescent="0.35">
      <c r="A487" s="2">
        <v>44378</v>
      </c>
      <c r="B487" t="s">
        <v>21</v>
      </c>
      <c r="C487" t="s">
        <v>41</v>
      </c>
      <c r="D487">
        <v>321</v>
      </c>
    </row>
    <row r="488" spans="1:4" x14ac:dyDescent="0.35">
      <c r="A488" s="2">
        <v>44378</v>
      </c>
      <c r="B488" t="s">
        <v>21</v>
      </c>
      <c r="C488" t="s">
        <v>42</v>
      </c>
      <c r="D488">
        <v>730</v>
      </c>
    </row>
    <row r="489" spans="1:4" x14ac:dyDescent="0.35">
      <c r="A489" s="2">
        <v>44378</v>
      </c>
      <c r="B489" t="s">
        <v>21</v>
      </c>
      <c r="C489" t="s">
        <v>43</v>
      </c>
      <c r="D489">
        <v>494</v>
      </c>
    </row>
    <row r="490" spans="1:4" x14ac:dyDescent="0.35">
      <c r="A490" s="2">
        <v>44378</v>
      </c>
      <c r="B490" t="s">
        <v>21</v>
      </c>
      <c r="C490" t="s">
        <v>44</v>
      </c>
      <c r="D490">
        <v>212</v>
      </c>
    </row>
    <row r="491" spans="1:4" x14ac:dyDescent="0.35">
      <c r="A491" s="2">
        <v>44378</v>
      </c>
      <c r="B491" t="s">
        <v>21</v>
      </c>
      <c r="C491" t="s">
        <v>45</v>
      </c>
      <c r="D491">
        <v>1202</v>
      </c>
    </row>
    <row r="492" spans="1:4" x14ac:dyDescent="0.35">
      <c r="A492" s="2">
        <v>44743</v>
      </c>
      <c r="B492" t="s">
        <v>21</v>
      </c>
      <c r="C492" t="s">
        <v>22</v>
      </c>
      <c r="D492">
        <v>3864</v>
      </c>
    </row>
    <row r="493" spans="1:4" x14ac:dyDescent="0.35">
      <c r="A493" s="2">
        <v>44743</v>
      </c>
      <c r="B493" t="s">
        <v>21</v>
      </c>
      <c r="C493" t="s">
        <v>36</v>
      </c>
      <c r="D493">
        <v>8394</v>
      </c>
    </row>
    <row r="494" spans="1:4" x14ac:dyDescent="0.35">
      <c r="A494" s="2">
        <v>44743</v>
      </c>
      <c r="B494" t="s">
        <v>21</v>
      </c>
      <c r="C494" t="s">
        <v>35</v>
      </c>
      <c r="D494">
        <v>9334</v>
      </c>
    </row>
    <row r="495" spans="1:4" x14ac:dyDescent="0.35">
      <c r="A495" s="2">
        <v>44743</v>
      </c>
      <c r="B495" t="s">
        <v>21</v>
      </c>
      <c r="C495" t="s">
        <v>37</v>
      </c>
      <c r="D495">
        <v>6812</v>
      </c>
    </row>
    <row r="496" spans="1:4" x14ac:dyDescent="0.35">
      <c r="A496" s="2">
        <v>44743</v>
      </c>
      <c r="B496" t="s">
        <v>21</v>
      </c>
      <c r="C496" t="s">
        <v>40</v>
      </c>
      <c r="D496">
        <v>4348</v>
      </c>
    </row>
    <row r="497" spans="1:4" x14ac:dyDescent="0.35">
      <c r="A497" s="2">
        <v>44743</v>
      </c>
      <c r="B497" t="s">
        <v>21</v>
      </c>
      <c r="C497" t="s">
        <v>38</v>
      </c>
      <c r="D497">
        <v>1289</v>
      </c>
    </row>
    <row r="498" spans="1:4" x14ac:dyDescent="0.35">
      <c r="A498" s="2">
        <v>44743</v>
      </c>
      <c r="B498" t="s">
        <v>21</v>
      </c>
      <c r="C498" t="s">
        <v>42</v>
      </c>
      <c r="D498">
        <v>2482</v>
      </c>
    </row>
    <row r="499" spans="1:4" x14ac:dyDescent="0.35">
      <c r="A499" s="2">
        <v>44743</v>
      </c>
      <c r="B499" t="s">
        <v>21</v>
      </c>
      <c r="C499" t="s">
        <v>23</v>
      </c>
      <c r="D499">
        <v>1076</v>
      </c>
    </row>
    <row r="500" spans="1:4" x14ac:dyDescent="0.35">
      <c r="A500" s="2">
        <v>44743</v>
      </c>
      <c r="B500" t="s">
        <v>21</v>
      </c>
      <c r="C500" t="s">
        <v>41</v>
      </c>
      <c r="D500">
        <v>2318</v>
      </c>
    </row>
    <row r="501" spans="1:4" x14ac:dyDescent="0.35">
      <c r="A501" s="2">
        <v>44743</v>
      </c>
      <c r="B501" t="s">
        <v>21</v>
      </c>
      <c r="C501" t="s">
        <v>39</v>
      </c>
      <c r="D501">
        <v>1000</v>
      </c>
    </row>
    <row r="502" spans="1:4" x14ac:dyDescent="0.35">
      <c r="A502" s="2">
        <v>44743</v>
      </c>
      <c r="B502" t="s">
        <v>21</v>
      </c>
      <c r="C502" t="s">
        <v>43</v>
      </c>
      <c r="D502">
        <v>1245</v>
      </c>
    </row>
    <row r="503" spans="1:4" x14ac:dyDescent="0.35">
      <c r="A503" s="2">
        <v>44743</v>
      </c>
      <c r="B503" t="s">
        <v>21</v>
      </c>
      <c r="C503" t="s">
        <v>44</v>
      </c>
      <c r="D503">
        <v>880</v>
      </c>
    </row>
    <row r="504" spans="1:4" x14ac:dyDescent="0.35">
      <c r="A504" s="2">
        <v>44743</v>
      </c>
      <c r="B504" t="s">
        <v>21</v>
      </c>
      <c r="C504" t="s">
        <v>45</v>
      </c>
      <c r="D504">
        <v>3562</v>
      </c>
    </row>
    <row r="505" spans="1:4" x14ac:dyDescent="0.35">
      <c r="A505" s="2">
        <v>45108</v>
      </c>
      <c r="B505" t="s">
        <v>21</v>
      </c>
      <c r="C505" t="s">
        <v>22</v>
      </c>
      <c r="D505">
        <v>19409</v>
      </c>
    </row>
    <row r="506" spans="1:4" x14ac:dyDescent="0.35">
      <c r="A506" s="2">
        <v>45108</v>
      </c>
      <c r="B506" t="s">
        <v>21</v>
      </c>
      <c r="C506" t="s">
        <v>40</v>
      </c>
      <c r="D506">
        <v>10272</v>
      </c>
    </row>
    <row r="507" spans="1:4" x14ac:dyDescent="0.35">
      <c r="A507" s="2">
        <v>45108</v>
      </c>
      <c r="B507" t="s">
        <v>21</v>
      </c>
      <c r="C507" t="s">
        <v>38</v>
      </c>
      <c r="D507">
        <v>6604</v>
      </c>
    </row>
    <row r="508" spans="1:4" x14ac:dyDescent="0.35">
      <c r="A508" s="2">
        <v>45108</v>
      </c>
      <c r="B508" t="s">
        <v>21</v>
      </c>
      <c r="C508" t="s">
        <v>42</v>
      </c>
      <c r="D508">
        <v>4081</v>
      </c>
    </row>
    <row r="509" spans="1:4" x14ac:dyDescent="0.35">
      <c r="A509" s="2">
        <v>45108</v>
      </c>
      <c r="B509" t="s">
        <v>21</v>
      </c>
      <c r="C509" t="s">
        <v>37</v>
      </c>
      <c r="D509">
        <v>3530</v>
      </c>
    </row>
    <row r="510" spans="1:4" x14ac:dyDescent="0.35">
      <c r="A510" s="2">
        <v>45108</v>
      </c>
      <c r="B510" t="s">
        <v>21</v>
      </c>
      <c r="C510" t="s">
        <v>36</v>
      </c>
      <c r="D510">
        <v>2238</v>
      </c>
    </row>
    <row r="511" spans="1:4" x14ac:dyDescent="0.35">
      <c r="A511" s="2">
        <v>45108</v>
      </c>
      <c r="B511" t="s">
        <v>21</v>
      </c>
      <c r="C511" t="s">
        <v>35</v>
      </c>
      <c r="D511">
        <v>770</v>
      </c>
    </row>
    <row r="512" spans="1:4" x14ac:dyDescent="0.35">
      <c r="A512" s="2">
        <v>45108</v>
      </c>
      <c r="B512" t="s">
        <v>21</v>
      </c>
      <c r="C512" t="s">
        <v>23</v>
      </c>
      <c r="D512">
        <v>775</v>
      </c>
    </row>
    <row r="513" spans="1:4" x14ac:dyDescent="0.35">
      <c r="A513" s="2">
        <v>45108</v>
      </c>
      <c r="B513" t="s">
        <v>21</v>
      </c>
      <c r="C513" t="s">
        <v>46</v>
      </c>
      <c r="D513">
        <v>653</v>
      </c>
    </row>
    <row r="514" spans="1:4" x14ac:dyDescent="0.35">
      <c r="A514" s="2">
        <v>45108</v>
      </c>
      <c r="B514" t="s">
        <v>21</v>
      </c>
      <c r="C514" t="s">
        <v>47</v>
      </c>
      <c r="D514">
        <v>133</v>
      </c>
    </row>
    <row r="515" spans="1:4" x14ac:dyDescent="0.35">
      <c r="A515" s="2">
        <v>45108</v>
      </c>
      <c r="B515" t="s">
        <v>21</v>
      </c>
      <c r="C515" t="s">
        <v>48</v>
      </c>
      <c r="D515">
        <v>229</v>
      </c>
    </row>
    <row r="516" spans="1:4" x14ac:dyDescent="0.35">
      <c r="A516" s="2">
        <v>45108</v>
      </c>
      <c r="B516" t="s">
        <v>21</v>
      </c>
      <c r="C516" t="s">
        <v>41</v>
      </c>
      <c r="D516">
        <v>478</v>
      </c>
    </row>
    <row r="517" spans="1:4" x14ac:dyDescent="0.35">
      <c r="A517" s="2">
        <v>45108</v>
      </c>
      <c r="B517" t="s">
        <v>21</v>
      </c>
      <c r="C517" t="s">
        <v>45</v>
      </c>
      <c r="D517">
        <v>5020</v>
      </c>
    </row>
    <row r="518" spans="1:4" x14ac:dyDescent="0.35">
      <c r="A518" s="2">
        <v>44409</v>
      </c>
      <c r="B518" t="s">
        <v>21</v>
      </c>
      <c r="C518" t="s">
        <v>35</v>
      </c>
      <c r="D518">
        <v>5527</v>
      </c>
    </row>
    <row r="519" spans="1:4" x14ac:dyDescent="0.35">
      <c r="A519" s="2">
        <v>44409</v>
      </c>
      <c r="B519" t="s">
        <v>21</v>
      </c>
      <c r="C519" t="s">
        <v>36</v>
      </c>
      <c r="D519">
        <v>2894</v>
      </c>
    </row>
    <row r="520" spans="1:4" x14ac:dyDescent="0.35">
      <c r="A520" s="2">
        <v>44409</v>
      </c>
      <c r="B520" t="s">
        <v>21</v>
      </c>
      <c r="C520" t="s">
        <v>37</v>
      </c>
      <c r="D520">
        <v>810</v>
      </c>
    </row>
    <row r="521" spans="1:4" x14ac:dyDescent="0.35">
      <c r="A521" s="2">
        <v>44409</v>
      </c>
      <c r="B521" t="s">
        <v>21</v>
      </c>
      <c r="C521" t="s">
        <v>38</v>
      </c>
      <c r="D521">
        <v>1613</v>
      </c>
    </row>
    <row r="522" spans="1:4" x14ac:dyDescent="0.35">
      <c r="A522" s="2">
        <v>44409</v>
      </c>
      <c r="B522" t="s">
        <v>21</v>
      </c>
      <c r="C522" t="s">
        <v>39</v>
      </c>
      <c r="D522">
        <v>1094</v>
      </c>
    </row>
    <row r="523" spans="1:4" x14ac:dyDescent="0.35">
      <c r="A523" s="2">
        <v>44409</v>
      </c>
      <c r="B523" t="s">
        <v>21</v>
      </c>
      <c r="C523" t="s">
        <v>40</v>
      </c>
      <c r="D523">
        <v>651</v>
      </c>
    </row>
    <row r="524" spans="1:4" x14ac:dyDescent="0.35">
      <c r="A524" s="2">
        <v>44409</v>
      </c>
      <c r="B524" t="s">
        <v>21</v>
      </c>
      <c r="C524" t="s">
        <v>41</v>
      </c>
      <c r="D524">
        <v>853</v>
      </c>
    </row>
    <row r="525" spans="1:4" x14ac:dyDescent="0.35">
      <c r="A525" s="2">
        <v>44409</v>
      </c>
      <c r="B525" t="s">
        <v>21</v>
      </c>
      <c r="C525" t="s">
        <v>42</v>
      </c>
      <c r="D525">
        <v>796</v>
      </c>
    </row>
    <row r="526" spans="1:4" x14ac:dyDescent="0.35">
      <c r="A526" s="2">
        <v>44409</v>
      </c>
      <c r="B526" t="s">
        <v>21</v>
      </c>
      <c r="C526" t="s">
        <v>43</v>
      </c>
      <c r="D526">
        <v>325</v>
      </c>
    </row>
    <row r="527" spans="1:4" x14ac:dyDescent="0.35">
      <c r="A527" s="2">
        <v>44409</v>
      </c>
      <c r="B527" t="s">
        <v>21</v>
      </c>
      <c r="C527" t="s">
        <v>44</v>
      </c>
      <c r="D527">
        <v>208</v>
      </c>
    </row>
    <row r="528" spans="1:4" x14ac:dyDescent="0.35">
      <c r="A528" s="2">
        <v>44409</v>
      </c>
      <c r="B528" t="s">
        <v>21</v>
      </c>
      <c r="C528" t="s">
        <v>45</v>
      </c>
      <c r="D528">
        <v>1279</v>
      </c>
    </row>
    <row r="529" spans="1:4" x14ac:dyDescent="0.35">
      <c r="A529" s="2">
        <v>44774</v>
      </c>
      <c r="B529" t="s">
        <v>21</v>
      </c>
      <c r="C529" t="s">
        <v>22</v>
      </c>
      <c r="D529">
        <v>3475</v>
      </c>
    </row>
    <row r="530" spans="1:4" x14ac:dyDescent="0.35">
      <c r="A530" s="2">
        <v>44774</v>
      </c>
      <c r="B530" t="s">
        <v>21</v>
      </c>
      <c r="C530" t="s">
        <v>36</v>
      </c>
      <c r="D530">
        <v>8756</v>
      </c>
    </row>
    <row r="531" spans="1:4" x14ac:dyDescent="0.35">
      <c r="A531" s="2">
        <v>44774</v>
      </c>
      <c r="B531" t="s">
        <v>21</v>
      </c>
      <c r="C531" t="s">
        <v>35</v>
      </c>
      <c r="D531">
        <v>9925</v>
      </c>
    </row>
    <row r="532" spans="1:4" x14ac:dyDescent="0.35">
      <c r="A532" s="2">
        <v>44774</v>
      </c>
      <c r="B532" t="s">
        <v>21</v>
      </c>
      <c r="C532" t="s">
        <v>37</v>
      </c>
      <c r="D532">
        <v>6771</v>
      </c>
    </row>
    <row r="533" spans="1:4" x14ac:dyDescent="0.35">
      <c r="A533" s="2">
        <v>44774</v>
      </c>
      <c r="B533" t="s">
        <v>21</v>
      </c>
      <c r="C533" t="s">
        <v>40</v>
      </c>
      <c r="D533">
        <v>6426</v>
      </c>
    </row>
    <row r="534" spans="1:4" x14ac:dyDescent="0.35">
      <c r="A534" s="2">
        <v>44774</v>
      </c>
      <c r="B534" t="s">
        <v>21</v>
      </c>
      <c r="C534" t="s">
        <v>38</v>
      </c>
      <c r="D534">
        <v>5376</v>
      </c>
    </row>
    <row r="535" spans="1:4" x14ac:dyDescent="0.35">
      <c r="A535" s="2">
        <v>44774</v>
      </c>
      <c r="B535" t="s">
        <v>21</v>
      </c>
      <c r="C535" t="s">
        <v>42</v>
      </c>
      <c r="D535">
        <v>2620</v>
      </c>
    </row>
    <row r="536" spans="1:4" x14ac:dyDescent="0.35">
      <c r="A536" s="2">
        <v>44774</v>
      </c>
      <c r="B536" t="s">
        <v>21</v>
      </c>
      <c r="C536" t="s">
        <v>23</v>
      </c>
      <c r="D536">
        <v>905</v>
      </c>
    </row>
    <row r="537" spans="1:4" x14ac:dyDescent="0.35">
      <c r="A537" s="2">
        <v>44774</v>
      </c>
      <c r="B537" t="s">
        <v>21</v>
      </c>
      <c r="C537" t="s">
        <v>41</v>
      </c>
      <c r="D537">
        <v>1662</v>
      </c>
    </row>
    <row r="538" spans="1:4" x14ac:dyDescent="0.35">
      <c r="A538" s="2">
        <v>44774</v>
      </c>
      <c r="B538" t="s">
        <v>21</v>
      </c>
      <c r="C538" t="s">
        <v>39</v>
      </c>
      <c r="D538">
        <v>880</v>
      </c>
    </row>
    <row r="539" spans="1:4" x14ac:dyDescent="0.35">
      <c r="A539" s="2">
        <v>44774</v>
      </c>
      <c r="B539" t="s">
        <v>21</v>
      </c>
      <c r="C539" t="s">
        <v>43</v>
      </c>
      <c r="D539">
        <v>1099</v>
      </c>
    </row>
    <row r="540" spans="1:4" x14ac:dyDescent="0.35">
      <c r="A540" s="2">
        <v>44774</v>
      </c>
      <c r="B540" t="s">
        <v>21</v>
      </c>
      <c r="C540" t="s">
        <v>44</v>
      </c>
      <c r="D540">
        <v>653</v>
      </c>
    </row>
    <row r="541" spans="1:4" x14ac:dyDescent="0.35">
      <c r="A541" s="2">
        <v>44774</v>
      </c>
      <c r="B541" t="s">
        <v>21</v>
      </c>
      <c r="C541" t="s">
        <v>45</v>
      </c>
      <c r="D541">
        <v>3678</v>
      </c>
    </row>
    <row r="542" spans="1:4" x14ac:dyDescent="0.35">
      <c r="A542" s="2">
        <v>45139</v>
      </c>
      <c r="B542" t="s">
        <v>21</v>
      </c>
      <c r="C542" t="s">
        <v>22</v>
      </c>
      <c r="D542">
        <v>18983</v>
      </c>
    </row>
    <row r="543" spans="1:4" x14ac:dyDescent="0.35">
      <c r="A543" s="2">
        <v>45139</v>
      </c>
      <c r="B543" t="s">
        <v>21</v>
      </c>
      <c r="C543" t="s">
        <v>40</v>
      </c>
      <c r="D543">
        <v>15296</v>
      </c>
    </row>
    <row r="544" spans="1:4" x14ac:dyDescent="0.35">
      <c r="A544" s="2">
        <v>45139</v>
      </c>
      <c r="B544" t="s">
        <v>21</v>
      </c>
      <c r="C544" t="s">
        <v>38</v>
      </c>
      <c r="D544">
        <v>7065</v>
      </c>
    </row>
    <row r="545" spans="1:4" x14ac:dyDescent="0.35">
      <c r="A545" s="2">
        <v>45139</v>
      </c>
      <c r="B545" t="s">
        <v>21</v>
      </c>
      <c r="C545" t="s">
        <v>42</v>
      </c>
      <c r="D545">
        <v>6508</v>
      </c>
    </row>
    <row r="546" spans="1:4" x14ac:dyDescent="0.35">
      <c r="A546" s="2">
        <v>45139</v>
      </c>
      <c r="B546" t="s">
        <v>21</v>
      </c>
      <c r="C546" t="s">
        <v>37</v>
      </c>
      <c r="D546">
        <v>3654</v>
      </c>
    </row>
    <row r="547" spans="1:4" x14ac:dyDescent="0.35">
      <c r="A547" s="2">
        <v>45139</v>
      </c>
      <c r="B547" t="s">
        <v>21</v>
      </c>
      <c r="C547" t="s">
        <v>36</v>
      </c>
      <c r="D547">
        <v>1977</v>
      </c>
    </row>
    <row r="548" spans="1:4" x14ac:dyDescent="0.35">
      <c r="A548" s="2">
        <v>45139</v>
      </c>
      <c r="B548" t="s">
        <v>21</v>
      </c>
      <c r="C548" t="s">
        <v>35</v>
      </c>
      <c r="D548">
        <v>774</v>
      </c>
    </row>
    <row r="549" spans="1:4" x14ac:dyDescent="0.35">
      <c r="A549" s="2">
        <v>45139</v>
      </c>
      <c r="B549" t="s">
        <v>21</v>
      </c>
      <c r="C549" t="s">
        <v>23</v>
      </c>
      <c r="D549">
        <v>1137</v>
      </c>
    </row>
    <row r="550" spans="1:4" x14ac:dyDescent="0.35">
      <c r="A550" s="2">
        <v>45139</v>
      </c>
      <c r="B550" t="s">
        <v>21</v>
      </c>
      <c r="C550" t="s">
        <v>46</v>
      </c>
      <c r="D550">
        <v>912</v>
      </c>
    </row>
    <row r="551" spans="1:4" x14ac:dyDescent="0.35">
      <c r="A551" s="2">
        <v>45139</v>
      </c>
      <c r="B551" t="s">
        <v>21</v>
      </c>
      <c r="C551" t="s">
        <v>47</v>
      </c>
      <c r="D551">
        <v>287</v>
      </c>
    </row>
    <row r="552" spans="1:4" x14ac:dyDescent="0.35">
      <c r="A552" s="2">
        <v>45139</v>
      </c>
      <c r="B552" t="s">
        <v>21</v>
      </c>
      <c r="C552" t="s">
        <v>48</v>
      </c>
      <c r="D552">
        <v>380</v>
      </c>
    </row>
    <row r="553" spans="1:4" x14ac:dyDescent="0.35">
      <c r="A553" s="2">
        <v>45139</v>
      </c>
      <c r="B553" t="s">
        <v>21</v>
      </c>
      <c r="C553" t="s">
        <v>41</v>
      </c>
      <c r="D553">
        <v>508</v>
      </c>
    </row>
    <row r="554" spans="1:4" x14ac:dyDescent="0.35">
      <c r="A554" s="2">
        <v>45139</v>
      </c>
      <c r="B554" t="s">
        <v>21</v>
      </c>
      <c r="C554" t="s">
        <v>45</v>
      </c>
      <c r="D554">
        <v>4990</v>
      </c>
    </row>
    <row r="555" spans="1:4" x14ac:dyDescent="0.35">
      <c r="A555" s="2">
        <v>44440</v>
      </c>
      <c r="B555" t="s">
        <v>21</v>
      </c>
      <c r="C555" t="s">
        <v>35</v>
      </c>
      <c r="D555">
        <v>6727</v>
      </c>
    </row>
    <row r="556" spans="1:4" x14ac:dyDescent="0.35">
      <c r="A556" s="2">
        <v>44440</v>
      </c>
      <c r="B556" t="s">
        <v>21</v>
      </c>
      <c r="C556" t="s">
        <v>36</v>
      </c>
      <c r="D556">
        <v>3321</v>
      </c>
    </row>
    <row r="557" spans="1:4" x14ac:dyDescent="0.35">
      <c r="A557" s="2">
        <v>44440</v>
      </c>
      <c r="B557" t="s">
        <v>21</v>
      </c>
      <c r="C557" t="s">
        <v>37</v>
      </c>
      <c r="D557">
        <v>807</v>
      </c>
    </row>
    <row r="558" spans="1:4" x14ac:dyDescent="0.35">
      <c r="A558" s="2">
        <v>44440</v>
      </c>
      <c r="B558" t="s">
        <v>21</v>
      </c>
      <c r="C558" t="s">
        <v>38</v>
      </c>
      <c r="D558">
        <v>2174</v>
      </c>
    </row>
    <row r="559" spans="1:4" x14ac:dyDescent="0.35">
      <c r="A559" s="2">
        <v>44440</v>
      </c>
      <c r="B559" t="s">
        <v>21</v>
      </c>
      <c r="C559" t="s">
        <v>39</v>
      </c>
      <c r="D559">
        <v>1337</v>
      </c>
    </row>
    <row r="560" spans="1:4" x14ac:dyDescent="0.35">
      <c r="A560" s="2">
        <v>44440</v>
      </c>
      <c r="B560" t="s">
        <v>21</v>
      </c>
      <c r="C560" t="s">
        <v>40</v>
      </c>
      <c r="D560">
        <v>688</v>
      </c>
    </row>
    <row r="561" spans="1:4" x14ac:dyDescent="0.35">
      <c r="A561" s="2">
        <v>44440</v>
      </c>
      <c r="B561" t="s">
        <v>21</v>
      </c>
      <c r="C561" t="s">
        <v>41</v>
      </c>
      <c r="D561">
        <v>499</v>
      </c>
    </row>
    <row r="562" spans="1:4" x14ac:dyDescent="0.35">
      <c r="A562" s="2">
        <v>44440</v>
      </c>
      <c r="B562" t="s">
        <v>21</v>
      </c>
      <c r="C562" t="s">
        <v>42</v>
      </c>
      <c r="D562">
        <v>381</v>
      </c>
    </row>
    <row r="563" spans="1:4" x14ac:dyDescent="0.35">
      <c r="A563" s="2">
        <v>44440</v>
      </c>
      <c r="B563" t="s">
        <v>21</v>
      </c>
      <c r="C563" t="s">
        <v>43</v>
      </c>
      <c r="D563">
        <v>337</v>
      </c>
    </row>
    <row r="564" spans="1:4" x14ac:dyDescent="0.35">
      <c r="A564" s="2">
        <v>44440</v>
      </c>
      <c r="B564" t="s">
        <v>21</v>
      </c>
      <c r="C564" t="s">
        <v>44</v>
      </c>
      <c r="D564">
        <v>134</v>
      </c>
    </row>
    <row r="565" spans="1:4" x14ac:dyDescent="0.35">
      <c r="A565" s="2">
        <v>44440</v>
      </c>
      <c r="B565" t="s">
        <v>21</v>
      </c>
      <c r="C565" t="s">
        <v>45</v>
      </c>
      <c r="D565">
        <v>1627</v>
      </c>
    </row>
    <row r="566" spans="1:4" x14ac:dyDescent="0.35">
      <c r="A566" s="2">
        <v>44805</v>
      </c>
      <c r="B566" t="s">
        <v>21</v>
      </c>
      <c r="C566" t="s">
        <v>22</v>
      </c>
      <c r="D566">
        <v>8065</v>
      </c>
    </row>
    <row r="567" spans="1:4" x14ac:dyDescent="0.35">
      <c r="A567" s="2">
        <v>44805</v>
      </c>
      <c r="B567" t="s">
        <v>21</v>
      </c>
      <c r="C567" t="s">
        <v>36</v>
      </c>
      <c r="D567">
        <v>8497</v>
      </c>
    </row>
    <row r="568" spans="1:4" x14ac:dyDescent="0.35">
      <c r="A568" s="2">
        <v>44805</v>
      </c>
      <c r="B568" t="s">
        <v>21</v>
      </c>
      <c r="C568" t="s">
        <v>35</v>
      </c>
      <c r="D568">
        <v>8208</v>
      </c>
    </row>
    <row r="569" spans="1:4" x14ac:dyDescent="0.35">
      <c r="A569" s="2">
        <v>44805</v>
      </c>
      <c r="B569" t="s">
        <v>21</v>
      </c>
      <c r="C569" t="s">
        <v>37</v>
      </c>
      <c r="D569">
        <v>6488</v>
      </c>
    </row>
    <row r="570" spans="1:4" x14ac:dyDescent="0.35">
      <c r="A570" s="2">
        <v>44805</v>
      </c>
      <c r="B570" t="s">
        <v>21</v>
      </c>
      <c r="C570" t="s">
        <v>40</v>
      </c>
      <c r="D570">
        <v>4001</v>
      </c>
    </row>
    <row r="571" spans="1:4" x14ac:dyDescent="0.35">
      <c r="A571" s="2">
        <v>44805</v>
      </c>
      <c r="B571" t="s">
        <v>21</v>
      </c>
      <c r="C571" t="s">
        <v>38</v>
      </c>
      <c r="D571">
        <v>6280</v>
      </c>
    </row>
    <row r="572" spans="1:4" x14ac:dyDescent="0.35">
      <c r="A572" s="2">
        <v>44805</v>
      </c>
      <c r="B572" t="s">
        <v>21</v>
      </c>
      <c r="C572" t="s">
        <v>42</v>
      </c>
      <c r="D572">
        <v>3649</v>
      </c>
    </row>
    <row r="573" spans="1:4" x14ac:dyDescent="0.35">
      <c r="A573" s="2">
        <v>44805</v>
      </c>
      <c r="B573" t="s">
        <v>21</v>
      </c>
      <c r="C573" t="s">
        <v>23</v>
      </c>
      <c r="D573">
        <v>954</v>
      </c>
    </row>
    <row r="574" spans="1:4" x14ac:dyDescent="0.35">
      <c r="A574" s="2">
        <v>44805</v>
      </c>
      <c r="B574" t="s">
        <v>21</v>
      </c>
      <c r="C574" t="s">
        <v>41</v>
      </c>
      <c r="D574">
        <v>865</v>
      </c>
    </row>
    <row r="575" spans="1:4" x14ac:dyDescent="0.35">
      <c r="A575" s="2">
        <v>44805</v>
      </c>
      <c r="B575" t="s">
        <v>21</v>
      </c>
      <c r="C575" t="s">
        <v>39</v>
      </c>
      <c r="D575">
        <v>790</v>
      </c>
    </row>
    <row r="576" spans="1:4" x14ac:dyDescent="0.35">
      <c r="A576" s="2">
        <v>44805</v>
      </c>
      <c r="B576" t="s">
        <v>21</v>
      </c>
      <c r="C576" t="s">
        <v>43</v>
      </c>
      <c r="D576">
        <v>975</v>
      </c>
    </row>
    <row r="577" spans="1:4" x14ac:dyDescent="0.35">
      <c r="A577" s="2">
        <v>44805</v>
      </c>
      <c r="B577" t="s">
        <v>21</v>
      </c>
      <c r="C577" t="s">
        <v>44</v>
      </c>
      <c r="D577">
        <v>661</v>
      </c>
    </row>
    <row r="578" spans="1:4" x14ac:dyDescent="0.35">
      <c r="A578" s="2">
        <v>44805</v>
      </c>
      <c r="B578" t="s">
        <v>21</v>
      </c>
      <c r="C578" t="s">
        <v>45</v>
      </c>
      <c r="D578">
        <v>3849</v>
      </c>
    </row>
    <row r="579" spans="1:4" x14ac:dyDescent="0.35">
      <c r="A579" s="2">
        <v>45170</v>
      </c>
      <c r="B579" t="s">
        <v>21</v>
      </c>
      <c r="C579" t="s">
        <v>22</v>
      </c>
      <c r="D579">
        <v>18926</v>
      </c>
    </row>
    <row r="580" spans="1:4" x14ac:dyDescent="0.35">
      <c r="A580" s="2">
        <v>45170</v>
      </c>
      <c r="B580" t="s">
        <v>21</v>
      </c>
      <c r="C580" t="s">
        <v>40</v>
      </c>
      <c r="D580">
        <v>15425</v>
      </c>
    </row>
    <row r="581" spans="1:4" x14ac:dyDescent="0.35">
      <c r="A581" s="2">
        <v>45170</v>
      </c>
      <c r="B581" t="s">
        <v>21</v>
      </c>
      <c r="C581" t="s">
        <v>38</v>
      </c>
      <c r="D581">
        <v>7107</v>
      </c>
    </row>
    <row r="582" spans="1:4" x14ac:dyDescent="0.35">
      <c r="A582" s="2">
        <v>45170</v>
      </c>
      <c r="B582" t="s">
        <v>21</v>
      </c>
      <c r="C582" t="s">
        <v>42</v>
      </c>
      <c r="D582">
        <v>7019</v>
      </c>
    </row>
    <row r="583" spans="1:4" x14ac:dyDescent="0.35">
      <c r="A583" s="2">
        <v>45170</v>
      </c>
      <c r="B583" t="s">
        <v>21</v>
      </c>
      <c r="C583" t="s">
        <v>37</v>
      </c>
      <c r="D583">
        <v>4148</v>
      </c>
    </row>
    <row r="584" spans="1:4" x14ac:dyDescent="0.35">
      <c r="A584" s="2">
        <v>45170</v>
      </c>
      <c r="B584" t="s">
        <v>21</v>
      </c>
      <c r="C584" t="s">
        <v>36</v>
      </c>
      <c r="D584">
        <v>1769</v>
      </c>
    </row>
    <row r="585" spans="1:4" x14ac:dyDescent="0.35">
      <c r="A585" s="2">
        <v>45170</v>
      </c>
      <c r="B585" t="s">
        <v>21</v>
      </c>
      <c r="C585" t="s">
        <v>35</v>
      </c>
      <c r="D585">
        <v>835</v>
      </c>
    </row>
    <row r="586" spans="1:4" x14ac:dyDescent="0.35">
      <c r="A586" s="2">
        <v>45170</v>
      </c>
      <c r="B586" t="s">
        <v>21</v>
      </c>
      <c r="C586" t="s">
        <v>23</v>
      </c>
      <c r="D586">
        <v>873</v>
      </c>
    </row>
    <row r="587" spans="1:4" x14ac:dyDescent="0.35">
      <c r="A587" s="2">
        <v>45170</v>
      </c>
      <c r="B587" t="s">
        <v>21</v>
      </c>
      <c r="C587" t="s">
        <v>46</v>
      </c>
      <c r="D587">
        <v>924</v>
      </c>
    </row>
    <row r="588" spans="1:4" x14ac:dyDescent="0.35">
      <c r="A588" s="2">
        <v>45170</v>
      </c>
      <c r="B588" t="s">
        <v>21</v>
      </c>
      <c r="C588" t="s">
        <v>47</v>
      </c>
      <c r="D588">
        <v>255</v>
      </c>
    </row>
    <row r="589" spans="1:4" x14ac:dyDescent="0.35">
      <c r="A589" s="2">
        <v>45170</v>
      </c>
      <c r="B589" t="s">
        <v>21</v>
      </c>
      <c r="C589" t="s">
        <v>48</v>
      </c>
      <c r="D589">
        <v>231</v>
      </c>
    </row>
    <row r="590" spans="1:4" x14ac:dyDescent="0.35">
      <c r="A590" s="2">
        <v>45170</v>
      </c>
      <c r="B590" t="s">
        <v>21</v>
      </c>
      <c r="C590" t="s">
        <v>41</v>
      </c>
      <c r="D590">
        <v>879</v>
      </c>
    </row>
    <row r="591" spans="1:4" x14ac:dyDescent="0.35">
      <c r="A591" s="2">
        <v>45170</v>
      </c>
      <c r="B591" t="s">
        <v>21</v>
      </c>
      <c r="C591" t="s">
        <v>45</v>
      </c>
      <c r="D591">
        <v>5355</v>
      </c>
    </row>
    <row r="592" spans="1:4" x14ac:dyDescent="0.35">
      <c r="A592" s="2">
        <v>44470</v>
      </c>
      <c r="B592" t="s">
        <v>21</v>
      </c>
      <c r="C592" t="s">
        <v>35</v>
      </c>
      <c r="D592">
        <v>6799</v>
      </c>
    </row>
    <row r="593" spans="1:4" x14ac:dyDescent="0.35">
      <c r="A593" s="2">
        <v>44470</v>
      </c>
      <c r="B593" t="s">
        <v>21</v>
      </c>
      <c r="C593" t="s">
        <v>36</v>
      </c>
      <c r="D593">
        <v>4166</v>
      </c>
    </row>
    <row r="594" spans="1:4" x14ac:dyDescent="0.35">
      <c r="A594" s="2">
        <v>44470</v>
      </c>
      <c r="B594" t="s">
        <v>21</v>
      </c>
      <c r="C594" t="s">
        <v>37</v>
      </c>
      <c r="D594">
        <v>1083</v>
      </c>
    </row>
    <row r="595" spans="1:4" x14ac:dyDescent="0.35">
      <c r="A595" s="2">
        <v>44470</v>
      </c>
      <c r="B595" t="s">
        <v>21</v>
      </c>
      <c r="C595" t="s">
        <v>38</v>
      </c>
      <c r="D595">
        <v>2647</v>
      </c>
    </row>
    <row r="596" spans="1:4" x14ac:dyDescent="0.35">
      <c r="A596" s="2">
        <v>44470</v>
      </c>
      <c r="B596" t="s">
        <v>21</v>
      </c>
      <c r="C596" t="s">
        <v>39</v>
      </c>
      <c r="D596">
        <v>1400</v>
      </c>
    </row>
    <row r="597" spans="1:4" x14ac:dyDescent="0.35">
      <c r="A597" s="2">
        <v>44470</v>
      </c>
      <c r="B597" t="s">
        <v>21</v>
      </c>
      <c r="C597" t="s">
        <v>40</v>
      </c>
      <c r="D597">
        <v>486</v>
      </c>
    </row>
    <row r="598" spans="1:4" x14ac:dyDescent="0.35">
      <c r="A598" s="2">
        <v>44470</v>
      </c>
      <c r="B598" t="s">
        <v>21</v>
      </c>
      <c r="C598" t="s">
        <v>41</v>
      </c>
      <c r="D598">
        <v>900</v>
      </c>
    </row>
    <row r="599" spans="1:4" x14ac:dyDescent="0.35">
      <c r="A599" s="2">
        <v>44470</v>
      </c>
      <c r="B599" t="s">
        <v>21</v>
      </c>
      <c r="C599" t="s">
        <v>42</v>
      </c>
      <c r="D599">
        <v>754</v>
      </c>
    </row>
    <row r="600" spans="1:4" x14ac:dyDescent="0.35">
      <c r="A600" s="2">
        <v>44470</v>
      </c>
      <c r="B600" t="s">
        <v>21</v>
      </c>
      <c r="C600" t="s">
        <v>43</v>
      </c>
      <c r="D600">
        <v>469</v>
      </c>
    </row>
    <row r="601" spans="1:4" x14ac:dyDescent="0.35">
      <c r="A601" s="2">
        <v>44470</v>
      </c>
      <c r="B601" t="s">
        <v>21</v>
      </c>
      <c r="C601" t="s">
        <v>44</v>
      </c>
      <c r="D601">
        <v>283</v>
      </c>
    </row>
    <row r="602" spans="1:4" x14ac:dyDescent="0.35">
      <c r="A602" s="2">
        <v>44470</v>
      </c>
      <c r="B602" t="s">
        <v>21</v>
      </c>
      <c r="C602" t="s">
        <v>45</v>
      </c>
      <c r="D602">
        <v>1826</v>
      </c>
    </row>
    <row r="603" spans="1:4" x14ac:dyDescent="0.35">
      <c r="A603" s="2">
        <v>44835</v>
      </c>
      <c r="B603" t="s">
        <v>21</v>
      </c>
      <c r="C603" t="s">
        <v>22</v>
      </c>
      <c r="D603">
        <v>15391</v>
      </c>
    </row>
    <row r="604" spans="1:4" x14ac:dyDescent="0.35">
      <c r="A604" s="2">
        <v>44835</v>
      </c>
      <c r="B604" t="s">
        <v>21</v>
      </c>
      <c r="C604" t="s">
        <v>36</v>
      </c>
      <c r="D604">
        <v>14950</v>
      </c>
    </row>
    <row r="605" spans="1:4" x14ac:dyDescent="0.35">
      <c r="A605" s="2">
        <v>44835</v>
      </c>
      <c r="B605" t="s">
        <v>21</v>
      </c>
      <c r="C605" t="s">
        <v>35</v>
      </c>
      <c r="D605">
        <v>8868</v>
      </c>
    </row>
    <row r="606" spans="1:4" x14ac:dyDescent="0.35">
      <c r="A606" s="2">
        <v>44835</v>
      </c>
      <c r="B606" t="s">
        <v>21</v>
      </c>
      <c r="C606" t="s">
        <v>37</v>
      </c>
      <c r="D606">
        <v>10113</v>
      </c>
    </row>
    <row r="607" spans="1:4" x14ac:dyDescent="0.35">
      <c r="A607" s="2">
        <v>44835</v>
      </c>
      <c r="B607" t="s">
        <v>21</v>
      </c>
      <c r="C607" t="s">
        <v>40</v>
      </c>
      <c r="D607">
        <v>5820</v>
      </c>
    </row>
    <row r="608" spans="1:4" x14ac:dyDescent="0.35">
      <c r="A608" s="2">
        <v>44835</v>
      </c>
      <c r="B608" t="s">
        <v>21</v>
      </c>
      <c r="C608" t="s">
        <v>38</v>
      </c>
      <c r="D608">
        <v>7356</v>
      </c>
    </row>
    <row r="609" spans="1:4" x14ac:dyDescent="0.35">
      <c r="A609" s="2">
        <v>44835</v>
      </c>
      <c r="B609" t="s">
        <v>21</v>
      </c>
      <c r="C609" t="s">
        <v>42</v>
      </c>
      <c r="D609">
        <v>3549</v>
      </c>
    </row>
    <row r="610" spans="1:4" x14ac:dyDescent="0.35">
      <c r="A610" s="2">
        <v>44835</v>
      </c>
      <c r="B610" t="s">
        <v>21</v>
      </c>
      <c r="C610" t="s">
        <v>23</v>
      </c>
      <c r="D610">
        <v>1968</v>
      </c>
    </row>
    <row r="611" spans="1:4" x14ac:dyDescent="0.35">
      <c r="A611" s="2">
        <v>44835</v>
      </c>
      <c r="B611" t="s">
        <v>21</v>
      </c>
      <c r="C611" t="s">
        <v>41</v>
      </c>
      <c r="D611">
        <v>1041</v>
      </c>
    </row>
    <row r="612" spans="1:4" x14ac:dyDescent="0.35">
      <c r="A612" s="2">
        <v>44835</v>
      </c>
      <c r="B612" t="s">
        <v>21</v>
      </c>
      <c r="C612" t="s">
        <v>39</v>
      </c>
      <c r="D612">
        <v>1047</v>
      </c>
    </row>
    <row r="613" spans="1:4" x14ac:dyDescent="0.35">
      <c r="A613" s="2">
        <v>44835</v>
      </c>
      <c r="B613" t="s">
        <v>21</v>
      </c>
      <c r="C613" t="s">
        <v>43</v>
      </c>
      <c r="D613">
        <v>1422</v>
      </c>
    </row>
    <row r="614" spans="1:4" x14ac:dyDescent="0.35">
      <c r="A614" s="2">
        <v>44835</v>
      </c>
      <c r="B614" t="s">
        <v>21</v>
      </c>
      <c r="C614" t="s">
        <v>44</v>
      </c>
      <c r="D614">
        <v>1111</v>
      </c>
    </row>
    <row r="615" spans="1:4" x14ac:dyDescent="0.35">
      <c r="A615" s="2">
        <v>44835</v>
      </c>
      <c r="B615" t="s">
        <v>21</v>
      </c>
      <c r="C615" t="s">
        <v>45</v>
      </c>
      <c r="D615">
        <v>4614</v>
      </c>
    </row>
    <row r="616" spans="1:4" x14ac:dyDescent="0.35">
      <c r="A616" s="2">
        <v>45200</v>
      </c>
      <c r="B616" t="s">
        <v>21</v>
      </c>
      <c r="C616" t="s">
        <v>22</v>
      </c>
      <c r="D616">
        <v>23968</v>
      </c>
    </row>
    <row r="617" spans="1:4" x14ac:dyDescent="0.35">
      <c r="A617" s="2">
        <v>45200</v>
      </c>
      <c r="B617" t="s">
        <v>21</v>
      </c>
      <c r="C617" t="s">
        <v>40</v>
      </c>
      <c r="D617">
        <v>16309</v>
      </c>
    </row>
    <row r="618" spans="1:4" x14ac:dyDescent="0.35">
      <c r="A618" s="2">
        <v>45200</v>
      </c>
      <c r="B618" t="s">
        <v>21</v>
      </c>
      <c r="C618" t="s">
        <v>38</v>
      </c>
      <c r="D618">
        <v>8375</v>
      </c>
    </row>
    <row r="619" spans="1:4" x14ac:dyDescent="0.35">
      <c r="A619" s="2">
        <v>45200</v>
      </c>
      <c r="B619" t="s">
        <v>21</v>
      </c>
      <c r="C619" t="s">
        <v>42</v>
      </c>
      <c r="D619">
        <v>8960</v>
      </c>
    </row>
    <row r="620" spans="1:4" x14ac:dyDescent="0.35">
      <c r="A620" s="2">
        <v>45200</v>
      </c>
      <c r="B620" t="s">
        <v>21</v>
      </c>
      <c r="C620" t="s">
        <v>37</v>
      </c>
      <c r="D620">
        <v>4487</v>
      </c>
    </row>
    <row r="621" spans="1:4" x14ac:dyDescent="0.35">
      <c r="A621" s="2">
        <v>45200</v>
      </c>
      <c r="B621" t="s">
        <v>21</v>
      </c>
      <c r="C621" t="s">
        <v>36</v>
      </c>
      <c r="D621">
        <v>1457</v>
      </c>
    </row>
    <row r="622" spans="1:4" x14ac:dyDescent="0.35">
      <c r="A622" s="2">
        <v>45200</v>
      </c>
      <c r="B622" t="s">
        <v>21</v>
      </c>
      <c r="C622" t="s">
        <v>35</v>
      </c>
      <c r="D622">
        <v>658</v>
      </c>
    </row>
    <row r="623" spans="1:4" x14ac:dyDescent="0.35">
      <c r="A623" s="2">
        <v>45200</v>
      </c>
      <c r="B623" t="s">
        <v>21</v>
      </c>
      <c r="C623" t="s">
        <v>23</v>
      </c>
      <c r="D623">
        <v>863</v>
      </c>
    </row>
    <row r="624" spans="1:4" x14ac:dyDescent="0.35">
      <c r="A624" s="2">
        <v>45200</v>
      </c>
      <c r="B624" t="s">
        <v>21</v>
      </c>
      <c r="C624" t="s">
        <v>46</v>
      </c>
      <c r="D624">
        <v>1157</v>
      </c>
    </row>
    <row r="625" spans="1:4" x14ac:dyDescent="0.35">
      <c r="A625" s="2">
        <v>45200</v>
      </c>
      <c r="B625" t="s">
        <v>21</v>
      </c>
      <c r="C625" t="s">
        <v>47</v>
      </c>
      <c r="D625">
        <v>227</v>
      </c>
    </row>
    <row r="626" spans="1:4" x14ac:dyDescent="0.35">
      <c r="A626" s="2">
        <v>45200</v>
      </c>
      <c r="B626" t="s">
        <v>21</v>
      </c>
      <c r="C626" t="s">
        <v>48</v>
      </c>
      <c r="D626">
        <v>389</v>
      </c>
    </row>
    <row r="627" spans="1:4" x14ac:dyDescent="0.35">
      <c r="A627" s="2">
        <v>45200</v>
      </c>
      <c r="B627" t="s">
        <v>21</v>
      </c>
      <c r="C627" t="s">
        <v>41</v>
      </c>
      <c r="D627">
        <v>681</v>
      </c>
    </row>
    <row r="628" spans="1:4" x14ac:dyDescent="0.35">
      <c r="A628" s="2">
        <v>45200</v>
      </c>
      <c r="B628" t="s">
        <v>21</v>
      </c>
      <c r="C628" t="s">
        <v>45</v>
      </c>
      <c r="D628">
        <v>7092</v>
      </c>
    </row>
    <row r="629" spans="1:4" x14ac:dyDescent="0.35">
      <c r="A629" s="2">
        <v>44501</v>
      </c>
      <c r="B629" t="s">
        <v>21</v>
      </c>
      <c r="C629" t="s">
        <v>35</v>
      </c>
      <c r="D629">
        <v>7493</v>
      </c>
    </row>
    <row r="630" spans="1:4" x14ac:dyDescent="0.35">
      <c r="A630" s="2">
        <v>44501</v>
      </c>
      <c r="B630" t="s">
        <v>21</v>
      </c>
      <c r="C630" t="s">
        <v>36</v>
      </c>
      <c r="D630">
        <v>5542</v>
      </c>
    </row>
    <row r="631" spans="1:4" x14ac:dyDescent="0.35">
      <c r="A631" s="2">
        <v>44501</v>
      </c>
      <c r="B631" t="s">
        <v>21</v>
      </c>
      <c r="C631" t="s">
        <v>37</v>
      </c>
      <c r="D631">
        <v>2077</v>
      </c>
    </row>
    <row r="632" spans="1:4" x14ac:dyDescent="0.35">
      <c r="A632" s="2">
        <v>44501</v>
      </c>
      <c r="B632" t="s">
        <v>21</v>
      </c>
      <c r="C632" t="s">
        <v>38</v>
      </c>
      <c r="D632">
        <v>2202</v>
      </c>
    </row>
    <row r="633" spans="1:4" x14ac:dyDescent="0.35">
      <c r="A633" s="2">
        <v>44501</v>
      </c>
      <c r="B633" t="s">
        <v>21</v>
      </c>
      <c r="C633" t="s">
        <v>39</v>
      </c>
      <c r="D633">
        <v>1688</v>
      </c>
    </row>
    <row r="634" spans="1:4" x14ac:dyDescent="0.35">
      <c r="A634" s="2">
        <v>44501</v>
      </c>
      <c r="B634" t="s">
        <v>21</v>
      </c>
      <c r="C634" t="s">
        <v>40</v>
      </c>
      <c r="D634">
        <v>522</v>
      </c>
    </row>
    <row r="635" spans="1:4" x14ac:dyDescent="0.35">
      <c r="A635" s="2">
        <v>44501</v>
      </c>
      <c r="B635" t="s">
        <v>21</v>
      </c>
      <c r="C635" t="s">
        <v>41</v>
      </c>
      <c r="D635">
        <v>780</v>
      </c>
    </row>
    <row r="636" spans="1:4" x14ac:dyDescent="0.35">
      <c r="A636" s="2">
        <v>44501</v>
      </c>
      <c r="B636" t="s">
        <v>21</v>
      </c>
      <c r="C636" t="s">
        <v>42</v>
      </c>
      <c r="D636">
        <v>728</v>
      </c>
    </row>
    <row r="637" spans="1:4" x14ac:dyDescent="0.35">
      <c r="A637" s="2">
        <v>44501</v>
      </c>
      <c r="B637" t="s">
        <v>21</v>
      </c>
      <c r="C637" t="s">
        <v>43</v>
      </c>
      <c r="D637">
        <v>912</v>
      </c>
    </row>
    <row r="638" spans="1:4" x14ac:dyDescent="0.35">
      <c r="A638" s="2">
        <v>44501</v>
      </c>
      <c r="B638" t="s">
        <v>21</v>
      </c>
      <c r="C638" t="s">
        <v>44</v>
      </c>
      <c r="D638">
        <v>273</v>
      </c>
    </row>
    <row r="639" spans="1:4" x14ac:dyDescent="0.35">
      <c r="A639" s="2">
        <v>44501</v>
      </c>
      <c r="B639" t="s">
        <v>21</v>
      </c>
      <c r="C639" t="s">
        <v>45</v>
      </c>
      <c r="D639">
        <v>2317</v>
      </c>
    </row>
    <row r="640" spans="1:4" x14ac:dyDescent="0.35">
      <c r="A640" s="2">
        <v>44866</v>
      </c>
      <c r="B640" t="s">
        <v>21</v>
      </c>
      <c r="C640" t="s">
        <v>22</v>
      </c>
      <c r="D640">
        <v>15797</v>
      </c>
    </row>
    <row r="641" spans="1:4" x14ac:dyDescent="0.35">
      <c r="A641" s="2">
        <v>44866</v>
      </c>
      <c r="B641" t="s">
        <v>21</v>
      </c>
      <c r="C641" t="s">
        <v>36</v>
      </c>
      <c r="D641">
        <v>9068</v>
      </c>
    </row>
    <row r="642" spans="1:4" x14ac:dyDescent="0.35">
      <c r="A642" s="2">
        <v>44866</v>
      </c>
      <c r="B642" t="s">
        <v>21</v>
      </c>
      <c r="C642" t="s">
        <v>35</v>
      </c>
      <c r="D642">
        <v>9026</v>
      </c>
    </row>
    <row r="643" spans="1:4" x14ac:dyDescent="0.35">
      <c r="A643" s="2">
        <v>44866</v>
      </c>
      <c r="B643" t="s">
        <v>21</v>
      </c>
      <c r="C643" t="s">
        <v>37</v>
      </c>
      <c r="D643">
        <v>12446</v>
      </c>
    </row>
    <row r="644" spans="1:4" x14ac:dyDescent="0.35">
      <c r="A644" s="2">
        <v>44866</v>
      </c>
      <c r="B644" t="s">
        <v>21</v>
      </c>
      <c r="C644" t="s">
        <v>40</v>
      </c>
      <c r="D644">
        <v>8147</v>
      </c>
    </row>
    <row r="645" spans="1:4" x14ac:dyDescent="0.35">
      <c r="A645" s="2">
        <v>44866</v>
      </c>
      <c r="B645" t="s">
        <v>21</v>
      </c>
      <c r="C645" t="s">
        <v>38</v>
      </c>
      <c r="D645">
        <v>7837</v>
      </c>
    </row>
    <row r="646" spans="1:4" x14ac:dyDescent="0.35">
      <c r="A646" s="2">
        <v>44866</v>
      </c>
      <c r="B646" t="s">
        <v>21</v>
      </c>
      <c r="C646" t="s">
        <v>42</v>
      </c>
      <c r="D646">
        <v>3057</v>
      </c>
    </row>
    <row r="647" spans="1:4" x14ac:dyDescent="0.35">
      <c r="A647" s="2">
        <v>44866</v>
      </c>
      <c r="B647" t="s">
        <v>21</v>
      </c>
      <c r="C647" t="s">
        <v>23</v>
      </c>
      <c r="D647">
        <v>1783</v>
      </c>
    </row>
    <row r="648" spans="1:4" x14ac:dyDescent="0.35">
      <c r="A648" s="2">
        <v>44866</v>
      </c>
      <c r="B648" t="s">
        <v>21</v>
      </c>
      <c r="C648" t="s">
        <v>41</v>
      </c>
      <c r="D648">
        <v>524</v>
      </c>
    </row>
    <row r="649" spans="1:4" x14ac:dyDescent="0.35">
      <c r="A649" s="2">
        <v>44866</v>
      </c>
      <c r="B649" t="s">
        <v>21</v>
      </c>
      <c r="C649" t="s">
        <v>39</v>
      </c>
      <c r="D649">
        <v>925</v>
      </c>
    </row>
    <row r="650" spans="1:4" x14ac:dyDescent="0.35">
      <c r="A650" s="2">
        <v>44866</v>
      </c>
      <c r="B650" t="s">
        <v>21</v>
      </c>
      <c r="C650" t="s">
        <v>43</v>
      </c>
      <c r="D650">
        <v>1216</v>
      </c>
    </row>
    <row r="651" spans="1:4" x14ac:dyDescent="0.35">
      <c r="A651" s="2">
        <v>44866</v>
      </c>
      <c r="B651" t="s">
        <v>21</v>
      </c>
      <c r="C651" t="s">
        <v>44</v>
      </c>
      <c r="D651">
        <v>1256</v>
      </c>
    </row>
    <row r="652" spans="1:4" x14ac:dyDescent="0.35">
      <c r="A652" s="2">
        <v>44866</v>
      </c>
      <c r="B652" t="s">
        <v>21</v>
      </c>
      <c r="C652" t="s">
        <v>45</v>
      </c>
      <c r="D652">
        <v>5693</v>
      </c>
    </row>
    <row r="653" spans="1:4" x14ac:dyDescent="0.35">
      <c r="A653" s="2">
        <v>45231</v>
      </c>
      <c r="B653" t="s">
        <v>21</v>
      </c>
      <c r="C653" t="s">
        <v>22</v>
      </c>
      <c r="D653">
        <v>29980</v>
      </c>
    </row>
    <row r="654" spans="1:4" x14ac:dyDescent="0.35">
      <c r="A654" s="2">
        <v>45231</v>
      </c>
      <c r="B654" t="s">
        <v>21</v>
      </c>
      <c r="C654" t="s">
        <v>40</v>
      </c>
      <c r="D654">
        <v>18914</v>
      </c>
    </row>
    <row r="655" spans="1:4" x14ac:dyDescent="0.35">
      <c r="A655" s="2">
        <v>45231</v>
      </c>
      <c r="B655" t="s">
        <v>21</v>
      </c>
      <c r="C655" t="s">
        <v>38</v>
      </c>
      <c r="D655">
        <v>9220</v>
      </c>
    </row>
    <row r="656" spans="1:4" x14ac:dyDescent="0.35">
      <c r="A656" s="2">
        <v>45231</v>
      </c>
      <c r="B656" t="s">
        <v>21</v>
      </c>
      <c r="C656" t="s">
        <v>42</v>
      </c>
      <c r="D656">
        <v>11769</v>
      </c>
    </row>
    <row r="657" spans="1:4" x14ac:dyDescent="0.35">
      <c r="A657" s="2">
        <v>45231</v>
      </c>
      <c r="B657" t="s">
        <v>21</v>
      </c>
      <c r="C657" t="s">
        <v>37</v>
      </c>
      <c r="D657">
        <v>4638</v>
      </c>
    </row>
    <row r="658" spans="1:4" x14ac:dyDescent="0.35">
      <c r="A658" s="2">
        <v>45231</v>
      </c>
      <c r="B658" t="s">
        <v>21</v>
      </c>
      <c r="C658" t="s">
        <v>36</v>
      </c>
      <c r="D658">
        <v>1587</v>
      </c>
    </row>
    <row r="659" spans="1:4" x14ac:dyDescent="0.35">
      <c r="A659" s="2">
        <v>45231</v>
      </c>
      <c r="B659" t="s">
        <v>21</v>
      </c>
      <c r="C659" t="s">
        <v>35</v>
      </c>
      <c r="D659">
        <v>814</v>
      </c>
    </row>
    <row r="660" spans="1:4" x14ac:dyDescent="0.35">
      <c r="A660" s="2">
        <v>45231</v>
      </c>
      <c r="B660" t="s">
        <v>21</v>
      </c>
      <c r="C660" t="s">
        <v>23</v>
      </c>
      <c r="D660">
        <v>1281</v>
      </c>
    </row>
    <row r="661" spans="1:4" x14ac:dyDescent="0.35">
      <c r="A661" s="2">
        <v>45231</v>
      </c>
      <c r="B661" t="s">
        <v>21</v>
      </c>
      <c r="C661" t="s">
        <v>46</v>
      </c>
      <c r="D661">
        <v>1589</v>
      </c>
    </row>
    <row r="662" spans="1:4" x14ac:dyDescent="0.35">
      <c r="A662" s="2">
        <v>45231</v>
      </c>
      <c r="B662" t="s">
        <v>21</v>
      </c>
      <c r="C662" t="s">
        <v>47</v>
      </c>
      <c r="D662">
        <v>659</v>
      </c>
    </row>
    <row r="663" spans="1:4" x14ac:dyDescent="0.35">
      <c r="A663" s="2">
        <v>45231</v>
      </c>
      <c r="B663" t="s">
        <v>21</v>
      </c>
      <c r="C663" t="s">
        <v>48</v>
      </c>
      <c r="D663">
        <v>422</v>
      </c>
    </row>
    <row r="664" spans="1:4" x14ac:dyDescent="0.35">
      <c r="A664" s="2">
        <v>45231</v>
      </c>
      <c r="B664" t="s">
        <v>21</v>
      </c>
      <c r="C664" t="s">
        <v>41</v>
      </c>
      <c r="D664">
        <v>663</v>
      </c>
    </row>
    <row r="665" spans="1:4" x14ac:dyDescent="0.35">
      <c r="A665" s="2">
        <v>45231</v>
      </c>
      <c r="B665" t="s">
        <v>21</v>
      </c>
      <c r="C665" t="s">
        <v>45</v>
      </c>
      <c r="D665">
        <v>9707</v>
      </c>
    </row>
    <row r="666" spans="1:4" x14ac:dyDescent="0.35">
      <c r="A666" s="2">
        <v>44531</v>
      </c>
      <c r="B666" t="s">
        <v>21</v>
      </c>
      <c r="C666" t="s">
        <v>35</v>
      </c>
      <c r="D666">
        <v>6402</v>
      </c>
    </row>
    <row r="667" spans="1:4" x14ac:dyDescent="0.35">
      <c r="A667" s="2">
        <v>44531</v>
      </c>
      <c r="B667" t="s">
        <v>21</v>
      </c>
      <c r="C667" t="s">
        <v>36</v>
      </c>
      <c r="D667">
        <v>6184</v>
      </c>
    </row>
    <row r="668" spans="1:4" x14ac:dyDescent="0.35">
      <c r="A668" s="2">
        <v>44531</v>
      </c>
      <c r="B668" t="s">
        <v>21</v>
      </c>
      <c r="C668" t="s">
        <v>37</v>
      </c>
      <c r="D668">
        <v>3410</v>
      </c>
    </row>
    <row r="669" spans="1:4" x14ac:dyDescent="0.35">
      <c r="A669" s="2">
        <v>44531</v>
      </c>
      <c r="B669" t="s">
        <v>21</v>
      </c>
      <c r="C669" t="s">
        <v>38</v>
      </c>
      <c r="D669">
        <v>1813</v>
      </c>
    </row>
    <row r="670" spans="1:4" x14ac:dyDescent="0.35">
      <c r="A670" s="2">
        <v>44531</v>
      </c>
      <c r="B670" t="s">
        <v>21</v>
      </c>
      <c r="C670" t="s">
        <v>39</v>
      </c>
      <c r="D670">
        <v>1685</v>
      </c>
    </row>
    <row r="671" spans="1:4" x14ac:dyDescent="0.35">
      <c r="A671" s="2">
        <v>44531</v>
      </c>
      <c r="B671" t="s">
        <v>21</v>
      </c>
      <c r="C671" t="s">
        <v>22</v>
      </c>
      <c r="D671">
        <v>240</v>
      </c>
    </row>
    <row r="672" spans="1:4" x14ac:dyDescent="0.35">
      <c r="A672" s="2">
        <v>44531</v>
      </c>
      <c r="B672" t="s">
        <v>21</v>
      </c>
      <c r="C672" t="s">
        <v>40</v>
      </c>
      <c r="D672">
        <v>1119</v>
      </c>
    </row>
    <row r="673" spans="1:4" x14ac:dyDescent="0.35">
      <c r="A673" s="2">
        <v>44531</v>
      </c>
      <c r="B673" t="s">
        <v>21</v>
      </c>
      <c r="C673" t="s">
        <v>41</v>
      </c>
      <c r="D673">
        <v>835</v>
      </c>
    </row>
    <row r="674" spans="1:4" x14ac:dyDescent="0.35">
      <c r="A674" s="2">
        <v>44531</v>
      </c>
      <c r="B674" t="s">
        <v>21</v>
      </c>
      <c r="C674" t="s">
        <v>42</v>
      </c>
      <c r="D674">
        <v>642</v>
      </c>
    </row>
    <row r="675" spans="1:4" x14ac:dyDescent="0.35">
      <c r="A675" s="2">
        <v>44531</v>
      </c>
      <c r="B675" t="s">
        <v>21</v>
      </c>
      <c r="C675" t="s">
        <v>43</v>
      </c>
      <c r="D675">
        <v>1190</v>
      </c>
    </row>
    <row r="676" spans="1:4" x14ac:dyDescent="0.35">
      <c r="A676" s="2">
        <v>44531</v>
      </c>
      <c r="B676" t="s">
        <v>21</v>
      </c>
      <c r="C676" t="s">
        <v>44</v>
      </c>
      <c r="D676">
        <v>503</v>
      </c>
    </row>
    <row r="677" spans="1:4" x14ac:dyDescent="0.35">
      <c r="A677" s="2">
        <v>44531</v>
      </c>
      <c r="B677" t="s">
        <v>21</v>
      </c>
      <c r="C677" t="s">
        <v>45</v>
      </c>
      <c r="D677">
        <v>2603</v>
      </c>
    </row>
    <row r="678" spans="1:4" x14ac:dyDescent="0.35">
      <c r="A678" s="2">
        <v>44896</v>
      </c>
      <c r="B678" t="s">
        <v>21</v>
      </c>
      <c r="C678" t="s">
        <v>22</v>
      </c>
      <c r="D678">
        <v>16919</v>
      </c>
    </row>
    <row r="679" spans="1:4" x14ac:dyDescent="0.35">
      <c r="A679" s="2">
        <v>44896</v>
      </c>
      <c r="B679" t="s">
        <v>21</v>
      </c>
      <c r="C679" t="s">
        <v>36</v>
      </c>
      <c r="D679">
        <v>5281</v>
      </c>
    </row>
    <row r="680" spans="1:4" x14ac:dyDescent="0.35">
      <c r="A680" s="2">
        <v>44896</v>
      </c>
      <c r="B680" t="s">
        <v>21</v>
      </c>
      <c r="C680" t="s">
        <v>35</v>
      </c>
      <c r="D680">
        <v>8100</v>
      </c>
    </row>
    <row r="681" spans="1:4" x14ac:dyDescent="0.35">
      <c r="A681" s="2">
        <v>44896</v>
      </c>
      <c r="B681" t="s">
        <v>21</v>
      </c>
      <c r="C681" t="s">
        <v>37</v>
      </c>
      <c r="D681">
        <v>4592</v>
      </c>
    </row>
    <row r="682" spans="1:4" x14ac:dyDescent="0.35">
      <c r="A682" s="2">
        <v>44896</v>
      </c>
      <c r="B682" t="s">
        <v>21</v>
      </c>
      <c r="C682" t="s">
        <v>40</v>
      </c>
      <c r="D682">
        <v>9363</v>
      </c>
    </row>
    <row r="683" spans="1:4" x14ac:dyDescent="0.35">
      <c r="A683" s="2">
        <v>44896</v>
      </c>
      <c r="B683" t="s">
        <v>21</v>
      </c>
      <c r="C683" t="s">
        <v>38</v>
      </c>
      <c r="D683">
        <v>7693</v>
      </c>
    </row>
    <row r="684" spans="1:4" x14ac:dyDescent="0.35">
      <c r="A684" s="2">
        <v>44896</v>
      </c>
      <c r="B684" t="s">
        <v>21</v>
      </c>
      <c r="C684" t="s">
        <v>42</v>
      </c>
      <c r="D684">
        <v>3240</v>
      </c>
    </row>
    <row r="685" spans="1:4" x14ac:dyDescent="0.35">
      <c r="A685" s="2">
        <v>44896</v>
      </c>
      <c r="B685" t="s">
        <v>21</v>
      </c>
      <c r="C685" t="s">
        <v>23</v>
      </c>
      <c r="D685">
        <v>1445</v>
      </c>
    </row>
    <row r="686" spans="1:4" x14ac:dyDescent="0.35">
      <c r="A686" s="2">
        <v>44896</v>
      </c>
      <c r="B686" t="s">
        <v>21</v>
      </c>
      <c r="C686" t="s">
        <v>41</v>
      </c>
      <c r="D686">
        <v>37</v>
      </c>
    </row>
    <row r="687" spans="1:4" x14ac:dyDescent="0.35">
      <c r="A687" s="2">
        <v>44896</v>
      </c>
      <c r="B687" t="s">
        <v>21</v>
      </c>
      <c r="C687" t="s">
        <v>39</v>
      </c>
      <c r="D687">
        <v>780</v>
      </c>
    </row>
    <row r="688" spans="1:4" x14ac:dyDescent="0.35">
      <c r="A688" s="2">
        <v>44896</v>
      </c>
      <c r="B688" t="s">
        <v>21</v>
      </c>
      <c r="C688" t="s">
        <v>43</v>
      </c>
      <c r="D688">
        <v>966</v>
      </c>
    </row>
    <row r="689" spans="1:4" x14ac:dyDescent="0.35">
      <c r="A689" s="2">
        <v>44896</v>
      </c>
      <c r="B689" t="s">
        <v>21</v>
      </c>
      <c r="C689" t="s">
        <v>44</v>
      </c>
      <c r="D689">
        <v>668</v>
      </c>
    </row>
    <row r="690" spans="1:4" x14ac:dyDescent="0.35">
      <c r="A690" s="2">
        <v>44896</v>
      </c>
      <c r="B690" t="s">
        <v>21</v>
      </c>
      <c r="C690" t="s">
        <v>45</v>
      </c>
      <c r="D690">
        <v>5557</v>
      </c>
    </row>
    <row r="691" spans="1:4" x14ac:dyDescent="0.35">
      <c r="A691" s="2">
        <v>45261</v>
      </c>
      <c r="B691" t="s">
        <v>21</v>
      </c>
      <c r="C691" t="s">
        <v>22</v>
      </c>
      <c r="D691">
        <v>30588</v>
      </c>
    </row>
    <row r="692" spans="1:4" x14ac:dyDescent="0.35">
      <c r="A692" s="2">
        <v>45261</v>
      </c>
      <c r="B692" t="s">
        <v>21</v>
      </c>
      <c r="C692" t="s">
        <v>40</v>
      </c>
      <c r="D692">
        <v>12171</v>
      </c>
    </row>
    <row r="693" spans="1:4" x14ac:dyDescent="0.35">
      <c r="A693" s="2">
        <v>45261</v>
      </c>
      <c r="B693" t="s">
        <v>21</v>
      </c>
      <c r="C693" t="s">
        <v>38</v>
      </c>
      <c r="D693">
        <v>6471</v>
      </c>
    </row>
    <row r="694" spans="1:4" x14ac:dyDescent="0.35">
      <c r="A694" s="2">
        <v>45261</v>
      </c>
      <c r="B694" t="s">
        <v>21</v>
      </c>
      <c r="C694" t="s">
        <v>42</v>
      </c>
      <c r="D694">
        <v>10292</v>
      </c>
    </row>
    <row r="695" spans="1:4" x14ac:dyDescent="0.35">
      <c r="A695" s="2">
        <v>45261</v>
      </c>
      <c r="B695" t="s">
        <v>21</v>
      </c>
      <c r="C695" t="s">
        <v>37</v>
      </c>
      <c r="D695">
        <v>3309</v>
      </c>
    </row>
    <row r="696" spans="1:4" x14ac:dyDescent="0.35">
      <c r="A696" s="2">
        <v>45261</v>
      </c>
      <c r="B696" t="s">
        <v>21</v>
      </c>
      <c r="C696" t="s">
        <v>36</v>
      </c>
      <c r="D696">
        <v>953</v>
      </c>
    </row>
    <row r="697" spans="1:4" x14ac:dyDescent="0.35">
      <c r="A697" s="2">
        <v>45261</v>
      </c>
      <c r="B697" t="s">
        <v>21</v>
      </c>
      <c r="C697" t="s">
        <v>35</v>
      </c>
      <c r="D697">
        <v>545</v>
      </c>
    </row>
    <row r="698" spans="1:4" x14ac:dyDescent="0.35">
      <c r="A698" s="2">
        <v>45261</v>
      </c>
      <c r="B698" t="s">
        <v>21</v>
      </c>
      <c r="C698" t="s">
        <v>23</v>
      </c>
      <c r="D698">
        <v>700</v>
      </c>
    </row>
    <row r="699" spans="1:4" x14ac:dyDescent="0.35">
      <c r="A699" s="2">
        <v>45261</v>
      </c>
      <c r="B699" t="s">
        <v>21</v>
      </c>
      <c r="C699" t="s">
        <v>46</v>
      </c>
      <c r="D699">
        <v>1200</v>
      </c>
    </row>
    <row r="700" spans="1:4" x14ac:dyDescent="0.35">
      <c r="A700" s="2">
        <v>45261</v>
      </c>
      <c r="B700" t="s">
        <v>21</v>
      </c>
      <c r="C700" t="s">
        <v>47</v>
      </c>
      <c r="D700">
        <v>241</v>
      </c>
    </row>
    <row r="701" spans="1:4" x14ac:dyDescent="0.35">
      <c r="A701" s="2">
        <v>45261</v>
      </c>
      <c r="B701" t="s">
        <v>21</v>
      </c>
      <c r="C701" t="s">
        <v>48</v>
      </c>
      <c r="D701">
        <v>660</v>
      </c>
    </row>
    <row r="702" spans="1:4" x14ac:dyDescent="0.35">
      <c r="A702" s="2">
        <v>45261</v>
      </c>
      <c r="B702" t="s">
        <v>21</v>
      </c>
      <c r="C702" t="s">
        <v>41</v>
      </c>
      <c r="D702">
        <v>673</v>
      </c>
    </row>
    <row r="703" spans="1:4" x14ac:dyDescent="0.35">
      <c r="A703" s="2">
        <v>45261</v>
      </c>
      <c r="B703" t="s">
        <v>21</v>
      </c>
      <c r="C703" t="s">
        <v>45</v>
      </c>
      <c r="D703">
        <v>7691</v>
      </c>
    </row>
    <row r="704" spans="1:4" x14ac:dyDescent="0.35">
      <c r="A704" s="2">
        <v>44562</v>
      </c>
      <c r="B704" t="s">
        <v>21</v>
      </c>
      <c r="C704" t="s">
        <v>35</v>
      </c>
      <c r="D704">
        <v>8238</v>
      </c>
    </row>
    <row r="705" spans="1:4" x14ac:dyDescent="0.35">
      <c r="A705" s="2">
        <v>44562</v>
      </c>
      <c r="B705" t="s">
        <v>21</v>
      </c>
      <c r="C705" t="s">
        <v>36</v>
      </c>
      <c r="D705">
        <v>5737</v>
      </c>
    </row>
    <row r="706" spans="1:4" x14ac:dyDescent="0.35">
      <c r="A706" s="2">
        <v>44562</v>
      </c>
      <c r="B706" t="s">
        <v>21</v>
      </c>
      <c r="C706" t="s">
        <v>37</v>
      </c>
      <c r="D706">
        <v>4366</v>
      </c>
    </row>
    <row r="707" spans="1:4" x14ac:dyDescent="0.35">
      <c r="A707" s="2">
        <v>44562</v>
      </c>
      <c r="B707" t="s">
        <v>21</v>
      </c>
      <c r="C707" t="s">
        <v>38</v>
      </c>
      <c r="D707">
        <v>1881</v>
      </c>
    </row>
    <row r="708" spans="1:4" x14ac:dyDescent="0.35">
      <c r="A708" s="2">
        <v>44562</v>
      </c>
      <c r="B708" t="s">
        <v>21</v>
      </c>
      <c r="C708" t="s">
        <v>39</v>
      </c>
      <c r="D708">
        <v>1691</v>
      </c>
    </row>
    <row r="709" spans="1:4" x14ac:dyDescent="0.35">
      <c r="A709" s="2">
        <v>44562</v>
      </c>
      <c r="B709" t="s">
        <v>21</v>
      </c>
      <c r="C709" t="s">
        <v>22</v>
      </c>
      <c r="D709">
        <v>1107</v>
      </c>
    </row>
    <row r="710" spans="1:4" x14ac:dyDescent="0.35">
      <c r="A710" s="2">
        <v>44562</v>
      </c>
      <c r="B710" t="s">
        <v>21</v>
      </c>
      <c r="C710" t="s">
        <v>40</v>
      </c>
      <c r="D710">
        <v>1155</v>
      </c>
    </row>
    <row r="711" spans="1:4" x14ac:dyDescent="0.35">
      <c r="A711" s="2">
        <v>44562</v>
      </c>
      <c r="B711" t="s">
        <v>21</v>
      </c>
      <c r="C711" t="s">
        <v>41</v>
      </c>
      <c r="D711">
        <v>673</v>
      </c>
    </row>
    <row r="712" spans="1:4" x14ac:dyDescent="0.35">
      <c r="A712" s="2">
        <v>44562</v>
      </c>
      <c r="B712" t="s">
        <v>21</v>
      </c>
      <c r="C712" t="s">
        <v>42</v>
      </c>
      <c r="D712">
        <v>612</v>
      </c>
    </row>
    <row r="713" spans="1:4" x14ac:dyDescent="0.35">
      <c r="A713" s="2">
        <v>44562</v>
      </c>
      <c r="B713" t="s">
        <v>21</v>
      </c>
      <c r="C713" t="s">
        <v>43</v>
      </c>
      <c r="D713">
        <v>1062</v>
      </c>
    </row>
    <row r="714" spans="1:4" x14ac:dyDescent="0.35">
      <c r="A714" s="2">
        <v>44562</v>
      </c>
      <c r="B714" t="s">
        <v>21</v>
      </c>
      <c r="C714" t="s">
        <v>44</v>
      </c>
      <c r="D714">
        <v>535</v>
      </c>
    </row>
    <row r="715" spans="1:4" x14ac:dyDescent="0.35">
      <c r="A715" s="2">
        <v>44562</v>
      </c>
      <c r="B715" t="s">
        <v>21</v>
      </c>
      <c r="C715" t="s">
        <v>45</v>
      </c>
      <c r="D715">
        <v>3065</v>
      </c>
    </row>
    <row r="716" spans="1:4" x14ac:dyDescent="0.35">
      <c r="A716" s="2">
        <v>44927</v>
      </c>
      <c r="B716" t="s">
        <v>21</v>
      </c>
      <c r="C716" t="s">
        <v>22</v>
      </c>
      <c r="D716">
        <v>20148</v>
      </c>
    </row>
    <row r="717" spans="1:4" x14ac:dyDescent="0.35">
      <c r="A717" s="2">
        <v>44927</v>
      </c>
      <c r="B717" t="s">
        <v>21</v>
      </c>
      <c r="C717" t="s">
        <v>36</v>
      </c>
      <c r="D717">
        <v>4407</v>
      </c>
    </row>
    <row r="718" spans="1:4" x14ac:dyDescent="0.35">
      <c r="A718" s="2">
        <v>44927</v>
      </c>
      <c r="B718" t="s">
        <v>21</v>
      </c>
      <c r="C718" t="s">
        <v>35</v>
      </c>
      <c r="D718">
        <v>6399</v>
      </c>
    </row>
    <row r="719" spans="1:4" x14ac:dyDescent="0.35">
      <c r="A719" s="2">
        <v>44927</v>
      </c>
      <c r="B719" t="s">
        <v>21</v>
      </c>
      <c r="C719" t="s">
        <v>37</v>
      </c>
      <c r="D719">
        <v>4456</v>
      </c>
    </row>
    <row r="720" spans="1:4" x14ac:dyDescent="0.35">
      <c r="A720" s="2">
        <v>44927</v>
      </c>
      <c r="B720" t="s">
        <v>21</v>
      </c>
      <c r="C720" t="s">
        <v>40</v>
      </c>
      <c r="D720">
        <v>10462</v>
      </c>
    </row>
    <row r="721" spans="1:4" x14ac:dyDescent="0.35">
      <c r="A721" s="2">
        <v>44927</v>
      </c>
      <c r="B721" t="s">
        <v>21</v>
      </c>
      <c r="C721" t="s">
        <v>38</v>
      </c>
      <c r="D721">
        <v>9224</v>
      </c>
    </row>
    <row r="722" spans="1:4" x14ac:dyDescent="0.35">
      <c r="A722" s="2">
        <v>44927</v>
      </c>
      <c r="B722" t="s">
        <v>21</v>
      </c>
      <c r="C722" t="s">
        <v>42</v>
      </c>
      <c r="D722">
        <v>2252</v>
      </c>
    </row>
    <row r="723" spans="1:4" x14ac:dyDescent="0.35">
      <c r="A723" s="2">
        <v>44927</v>
      </c>
      <c r="B723" t="s">
        <v>21</v>
      </c>
      <c r="C723" t="s">
        <v>23</v>
      </c>
      <c r="D723">
        <v>1265</v>
      </c>
    </row>
    <row r="724" spans="1:4" x14ac:dyDescent="0.35">
      <c r="A724" s="2">
        <v>44927</v>
      </c>
      <c r="B724" t="s">
        <v>21</v>
      </c>
      <c r="C724" t="s">
        <v>41</v>
      </c>
      <c r="D724">
        <v>14</v>
      </c>
    </row>
    <row r="725" spans="1:4" x14ac:dyDescent="0.35">
      <c r="A725" s="2">
        <v>44927</v>
      </c>
      <c r="B725" t="s">
        <v>21</v>
      </c>
      <c r="C725" t="s">
        <v>39</v>
      </c>
      <c r="D725">
        <v>717</v>
      </c>
    </row>
    <row r="726" spans="1:4" x14ac:dyDescent="0.35">
      <c r="A726" s="2">
        <v>44927</v>
      </c>
      <c r="B726" t="s">
        <v>21</v>
      </c>
      <c r="C726" t="s">
        <v>43</v>
      </c>
      <c r="D726">
        <v>571</v>
      </c>
    </row>
    <row r="727" spans="1:4" x14ac:dyDescent="0.35">
      <c r="A727" s="2">
        <v>44927</v>
      </c>
      <c r="B727" t="s">
        <v>21</v>
      </c>
      <c r="C727" t="s">
        <v>44</v>
      </c>
      <c r="D727">
        <v>522</v>
      </c>
    </row>
    <row r="728" spans="1:4" x14ac:dyDescent="0.35">
      <c r="A728" s="2">
        <v>44927</v>
      </c>
      <c r="B728" t="s">
        <v>21</v>
      </c>
      <c r="C728" t="s">
        <v>45</v>
      </c>
      <c r="D728">
        <v>4241</v>
      </c>
    </row>
    <row r="729" spans="1:4" x14ac:dyDescent="0.35">
      <c r="A729" s="2">
        <v>45292</v>
      </c>
      <c r="B729" t="s">
        <v>21</v>
      </c>
      <c r="C729" t="s">
        <v>22</v>
      </c>
      <c r="D729">
        <v>32275</v>
      </c>
    </row>
    <row r="730" spans="1:4" x14ac:dyDescent="0.35">
      <c r="A730" s="2">
        <v>45292</v>
      </c>
      <c r="B730" t="s">
        <v>21</v>
      </c>
      <c r="C730" t="s">
        <v>40</v>
      </c>
      <c r="D730">
        <v>15153</v>
      </c>
    </row>
    <row r="731" spans="1:4" x14ac:dyDescent="0.35">
      <c r="A731" s="2">
        <v>45292</v>
      </c>
      <c r="B731" t="s">
        <v>21</v>
      </c>
      <c r="C731" t="s">
        <v>38</v>
      </c>
      <c r="D731">
        <v>9244</v>
      </c>
    </row>
    <row r="732" spans="1:4" x14ac:dyDescent="0.35">
      <c r="A732" s="2">
        <v>45292</v>
      </c>
      <c r="B732" t="s">
        <v>21</v>
      </c>
      <c r="C732" t="s">
        <v>42</v>
      </c>
      <c r="D732">
        <v>10753</v>
      </c>
    </row>
    <row r="733" spans="1:4" x14ac:dyDescent="0.35">
      <c r="A733" s="2">
        <v>45292</v>
      </c>
      <c r="B733" t="s">
        <v>21</v>
      </c>
      <c r="C733" t="s">
        <v>37</v>
      </c>
      <c r="D733">
        <v>2505</v>
      </c>
    </row>
    <row r="734" spans="1:4" x14ac:dyDescent="0.35">
      <c r="A734" s="2">
        <v>45292</v>
      </c>
      <c r="B734" t="s">
        <v>21</v>
      </c>
      <c r="C734" t="s">
        <v>36</v>
      </c>
      <c r="D734">
        <v>675</v>
      </c>
    </row>
    <row r="735" spans="1:4" x14ac:dyDescent="0.35">
      <c r="A735" s="2">
        <v>45292</v>
      </c>
      <c r="B735" t="s">
        <v>21</v>
      </c>
      <c r="C735" t="s">
        <v>35</v>
      </c>
      <c r="D735">
        <v>413</v>
      </c>
    </row>
    <row r="736" spans="1:4" x14ac:dyDescent="0.35">
      <c r="A736" s="2">
        <v>45292</v>
      </c>
      <c r="B736" t="s">
        <v>21</v>
      </c>
      <c r="C736" t="s">
        <v>23</v>
      </c>
      <c r="D736">
        <v>574</v>
      </c>
    </row>
    <row r="737" spans="1:4" x14ac:dyDescent="0.35">
      <c r="A737" s="2">
        <v>45292</v>
      </c>
      <c r="B737" t="s">
        <v>21</v>
      </c>
      <c r="C737" t="s">
        <v>46</v>
      </c>
      <c r="D737">
        <v>1469</v>
      </c>
    </row>
    <row r="738" spans="1:4" x14ac:dyDescent="0.35">
      <c r="A738" s="2">
        <v>45292</v>
      </c>
      <c r="B738" t="s">
        <v>21</v>
      </c>
      <c r="C738" t="s">
        <v>47</v>
      </c>
      <c r="D738">
        <v>284</v>
      </c>
    </row>
    <row r="739" spans="1:4" x14ac:dyDescent="0.35">
      <c r="A739" s="2">
        <v>45292</v>
      </c>
      <c r="B739" t="s">
        <v>21</v>
      </c>
      <c r="C739" t="s">
        <v>48</v>
      </c>
      <c r="D739">
        <v>810</v>
      </c>
    </row>
    <row r="740" spans="1:4" x14ac:dyDescent="0.35">
      <c r="A740" s="2">
        <v>45292</v>
      </c>
      <c r="B740" t="s">
        <v>21</v>
      </c>
      <c r="C740" t="s">
        <v>41</v>
      </c>
      <c r="D740">
        <v>524</v>
      </c>
    </row>
    <row r="741" spans="1:4" x14ac:dyDescent="0.35">
      <c r="A741" s="2">
        <v>45292</v>
      </c>
      <c r="B741" t="s">
        <v>21</v>
      </c>
      <c r="C741" t="s">
        <v>45</v>
      </c>
      <c r="D741">
        <v>6664</v>
      </c>
    </row>
    <row r="742" spans="1:4" x14ac:dyDescent="0.35">
      <c r="A742" s="2">
        <v>44593</v>
      </c>
      <c r="B742" t="s">
        <v>21</v>
      </c>
      <c r="C742" t="s">
        <v>35</v>
      </c>
      <c r="D742">
        <v>7773</v>
      </c>
    </row>
    <row r="743" spans="1:4" x14ac:dyDescent="0.35">
      <c r="A743" s="2">
        <v>44593</v>
      </c>
      <c r="B743" t="s">
        <v>21</v>
      </c>
      <c r="C743" t="s">
        <v>36</v>
      </c>
      <c r="D743">
        <v>6122</v>
      </c>
    </row>
    <row r="744" spans="1:4" x14ac:dyDescent="0.35">
      <c r="A744" s="2">
        <v>44593</v>
      </c>
      <c r="B744" t="s">
        <v>21</v>
      </c>
      <c r="C744" t="s">
        <v>37</v>
      </c>
      <c r="D744">
        <v>4431</v>
      </c>
    </row>
    <row r="745" spans="1:4" x14ac:dyDescent="0.35">
      <c r="A745" s="2">
        <v>44593</v>
      </c>
      <c r="B745" t="s">
        <v>21</v>
      </c>
      <c r="C745" t="s">
        <v>38</v>
      </c>
      <c r="D745">
        <v>2232</v>
      </c>
    </row>
    <row r="746" spans="1:4" x14ac:dyDescent="0.35">
      <c r="A746" s="2">
        <v>44593</v>
      </c>
      <c r="B746" t="s">
        <v>21</v>
      </c>
      <c r="C746" t="s">
        <v>39</v>
      </c>
      <c r="D746">
        <v>1428</v>
      </c>
    </row>
    <row r="747" spans="1:4" x14ac:dyDescent="0.35">
      <c r="A747" s="2">
        <v>44593</v>
      </c>
      <c r="B747" t="s">
        <v>21</v>
      </c>
      <c r="C747" t="s">
        <v>22</v>
      </c>
      <c r="D747">
        <v>3911</v>
      </c>
    </row>
    <row r="748" spans="1:4" x14ac:dyDescent="0.35">
      <c r="A748" s="2">
        <v>44593</v>
      </c>
      <c r="B748" t="s">
        <v>21</v>
      </c>
      <c r="C748" t="s">
        <v>40</v>
      </c>
      <c r="D748">
        <v>1560</v>
      </c>
    </row>
    <row r="749" spans="1:4" x14ac:dyDescent="0.35">
      <c r="A749" s="2">
        <v>44593</v>
      </c>
      <c r="B749" t="s">
        <v>21</v>
      </c>
      <c r="C749" t="s">
        <v>41</v>
      </c>
      <c r="D749">
        <v>1128</v>
      </c>
    </row>
    <row r="750" spans="1:4" x14ac:dyDescent="0.35">
      <c r="A750" s="2">
        <v>44593</v>
      </c>
      <c r="B750" t="s">
        <v>21</v>
      </c>
      <c r="C750" t="s">
        <v>42</v>
      </c>
      <c r="D750">
        <v>1372</v>
      </c>
    </row>
    <row r="751" spans="1:4" x14ac:dyDescent="0.35">
      <c r="A751" s="2">
        <v>44593</v>
      </c>
      <c r="B751" t="s">
        <v>21</v>
      </c>
      <c r="C751" t="s">
        <v>43</v>
      </c>
      <c r="D751">
        <v>1149</v>
      </c>
    </row>
    <row r="752" spans="1:4" x14ac:dyDescent="0.35">
      <c r="A752" s="2">
        <v>44593</v>
      </c>
      <c r="B752" t="s">
        <v>21</v>
      </c>
      <c r="C752" t="s">
        <v>44</v>
      </c>
      <c r="D752">
        <v>583</v>
      </c>
    </row>
    <row r="753" spans="1:4" x14ac:dyDescent="0.35">
      <c r="A753" s="2">
        <v>44593</v>
      </c>
      <c r="B753" t="s">
        <v>21</v>
      </c>
      <c r="C753" t="s">
        <v>45</v>
      </c>
      <c r="D753">
        <v>4033</v>
      </c>
    </row>
    <row r="754" spans="1:4" x14ac:dyDescent="0.35">
      <c r="A754" s="2">
        <v>44958</v>
      </c>
      <c r="B754" t="s">
        <v>21</v>
      </c>
      <c r="C754" t="s">
        <v>22</v>
      </c>
      <c r="D754">
        <v>17762</v>
      </c>
    </row>
    <row r="755" spans="1:4" x14ac:dyDescent="0.35">
      <c r="A755" s="2">
        <v>44958</v>
      </c>
      <c r="B755" t="s">
        <v>21</v>
      </c>
      <c r="C755" t="s">
        <v>36</v>
      </c>
      <c r="D755">
        <v>3848</v>
      </c>
    </row>
    <row r="756" spans="1:4" x14ac:dyDescent="0.35">
      <c r="A756" s="2">
        <v>44958</v>
      </c>
      <c r="B756" t="s">
        <v>21</v>
      </c>
      <c r="C756" t="s">
        <v>35</v>
      </c>
      <c r="D756">
        <v>5863</v>
      </c>
    </row>
    <row r="757" spans="1:4" x14ac:dyDescent="0.35">
      <c r="A757" s="2">
        <v>44958</v>
      </c>
      <c r="B757" t="s">
        <v>21</v>
      </c>
      <c r="C757" t="s">
        <v>37</v>
      </c>
      <c r="D757">
        <v>6003</v>
      </c>
    </row>
    <row r="758" spans="1:4" x14ac:dyDescent="0.35">
      <c r="A758" s="2">
        <v>44958</v>
      </c>
      <c r="B758" t="s">
        <v>21</v>
      </c>
      <c r="C758" t="s">
        <v>40</v>
      </c>
      <c r="D758">
        <v>12671</v>
      </c>
    </row>
    <row r="759" spans="1:4" x14ac:dyDescent="0.35">
      <c r="A759" s="2">
        <v>44958</v>
      </c>
      <c r="B759" t="s">
        <v>21</v>
      </c>
      <c r="C759" t="s">
        <v>38</v>
      </c>
      <c r="D759">
        <v>10069</v>
      </c>
    </row>
    <row r="760" spans="1:4" x14ac:dyDescent="0.35">
      <c r="A760" s="2">
        <v>44958</v>
      </c>
      <c r="B760" t="s">
        <v>21</v>
      </c>
      <c r="C760" t="s">
        <v>42</v>
      </c>
      <c r="D760">
        <v>2537</v>
      </c>
    </row>
    <row r="761" spans="1:4" x14ac:dyDescent="0.35">
      <c r="A761" s="2">
        <v>44958</v>
      </c>
      <c r="B761" t="s">
        <v>21</v>
      </c>
      <c r="C761" t="s">
        <v>23</v>
      </c>
      <c r="D761">
        <v>1232</v>
      </c>
    </row>
    <row r="762" spans="1:4" x14ac:dyDescent="0.35">
      <c r="A762" s="2">
        <v>44958</v>
      </c>
      <c r="B762" t="s">
        <v>21</v>
      </c>
      <c r="C762" t="s">
        <v>41</v>
      </c>
      <c r="D762">
        <v>79</v>
      </c>
    </row>
    <row r="763" spans="1:4" x14ac:dyDescent="0.35">
      <c r="A763" s="2">
        <v>44958</v>
      </c>
      <c r="B763" t="s">
        <v>21</v>
      </c>
      <c r="C763" t="s">
        <v>39</v>
      </c>
      <c r="D763">
        <v>488</v>
      </c>
    </row>
    <row r="764" spans="1:4" x14ac:dyDescent="0.35">
      <c r="A764" s="2">
        <v>44958</v>
      </c>
      <c r="B764" t="s">
        <v>21</v>
      </c>
      <c r="C764" t="s">
        <v>43</v>
      </c>
      <c r="D764">
        <v>337</v>
      </c>
    </row>
    <row r="765" spans="1:4" x14ac:dyDescent="0.35">
      <c r="A765" s="2">
        <v>44958</v>
      </c>
      <c r="B765" t="s">
        <v>21</v>
      </c>
      <c r="C765" t="s">
        <v>44</v>
      </c>
      <c r="D765">
        <v>308</v>
      </c>
    </row>
    <row r="766" spans="1:4" x14ac:dyDescent="0.35">
      <c r="A766" s="2">
        <v>44958</v>
      </c>
      <c r="B766" t="s">
        <v>21</v>
      </c>
      <c r="C766" t="s">
        <v>45</v>
      </c>
      <c r="D766">
        <v>4874</v>
      </c>
    </row>
    <row r="767" spans="1:4" x14ac:dyDescent="0.35">
      <c r="A767" s="2">
        <v>45323</v>
      </c>
      <c r="B767" t="s">
        <v>21</v>
      </c>
      <c r="C767" t="s">
        <v>22</v>
      </c>
      <c r="D767">
        <v>33967</v>
      </c>
    </row>
    <row r="768" spans="1:4" x14ac:dyDescent="0.35">
      <c r="A768" s="2">
        <v>45323</v>
      </c>
      <c r="B768" t="s">
        <v>21</v>
      </c>
      <c r="C768" t="s">
        <v>40</v>
      </c>
      <c r="D768">
        <v>14431</v>
      </c>
    </row>
    <row r="769" spans="1:4" x14ac:dyDescent="0.35">
      <c r="A769" s="2">
        <v>45323</v>
      </c>
      <c r="B769" t="s">
        <v>21</v>
      </c>
      <c r="C769" t="s">
        <v>38</v>
      </c>
      <c r="D769">
        <v>8957</v>
      </c>
    </row>
    <row r="770" spans="1:4" x14ac:dyDescent="0.35">
      <c r="A770" s="2">
        <v>45323</v>
      </c>
      <c r="B770" t="s">
        <v>21</v>
      </c>
      <c r="C770" t="s">
        <v>42</v>
      </c>
      <c r="D770">
        <v>11603</v>
      </c>
    </row>
    <row r="771" spans="1:4" x14ac:dyDescent="0.35">
      <c r="A771" s="2">
        <v>45323</v>
      </c>
      <c r="B771" t="s">
        <v>21</v>
      </c>
      <c r="C771" t="s">
        <v>37</v>
      </c>
      <c r="D771">
        <v>2577</v>
      </c>
    </row>
    <row r="772" spans="1:4" x14ac:dyDescent="0.35">
      <c r="A772" s="2">
        <v>45323</v>
      </c>
      <c r="B772" t="s">
        <v>21</v>
      </c>
      <c r="C772" t="s">
        <v>36</v>
      </c>
      <c r="D772">
        <v>652</v>
      </c>
    </row>
    <row r="773" spans="1:4" x14ac:dyDescent="0.35">
      <c r="A773" s="2">
        <v>45323</v>
      </c>
      <c r="B773" t="s">
        <v>21</v>
      </c>
      <c r="C773" t="s">
        <v>35</v>
      </c>
      <c r="D773">
        <v>323</v>
      </c>
    </row>
    <row r="774" spans="1:4" x14ac:dyDescent="0.35">
      <c r="A774" s="2">
        <v>45323</v>
      </c>
      <c r="B774" t="s">
        <v>21</v>
      </c>
      <c r="C774" t="s">
        <v>23</v>
      </c>
      <c r="D774">
        <v>649</v>
      </c>
    </row>
    <row r="775" spans="1:4" x14ac:dyDescent="0.35">
      <c r="A775" s="2">
        <v>45323</v>
      </c>
      <c r="B775" t="s">
        <v>21</v>
      </c>
      <c r="C775" t="s">
        <v>46</v>
      </c>
      <c r="D775">
        <v>1334</v>
      </c>
    </row>
    <row r="776" spans="1:4" x14ac:dyDescent="0.35">
      <c r="A776" s="2">
        <v>45323</v>
      </c>
      <c r="B776" t="s">
        <v>21</v>
      </c>
      <c r="C776" t="s">
        <v>47</v>
      </c>
      <c r="D776">
        <v>219</v>
      </c>
    </row>
    <row r="777" spans="1:4" x14ac:dyDescent="0.35">
      <c r="A777" s="2">
        <v>45323</v>
      </c>
      <c r="B777" t="s">
        <v>21</v>
      </c>
      <c r="C777" t="s">
        <v>48</v>
      </c>
      <c r="D777">
        <v>624</v>
      </c>
    </row>
    <row r="778" spans="1:4" x14ac:dyDescent="0.35">
      <c r="A778" s="2">
        <v>45323</v>
      </c>
      <c r="B778" t="s">
        <v>21</v>
      </c>
      <c r="C778" t="s">
        <v>41</v>
      </c>
      <c r="D778">
        <v>473</v>
      </c>
    </row>
    <row r="779" spans="1:4" x14ac:dyDescent="0.35">
      <c r="A779" s="2">
        <v>45323</v>
      </c>
      <c r="B779" t="s">
        <v>21</v>
      </c>
      <c r="C779" t="s">
        <v>45</v>
      </c>
      <c r="D779">
        <v>6154</v>
      </c>
    </row>
    <row r="780" spans="1:4" x14ac:dyDescent="0.35">
      <c r="A780" s="2">
        <v>44621</v>
      </c>
      <c r="B780" t="s">
        <v>21</v>
      </c>
      <c r="C780" t="s">
        <v>35</v>
      </c>
      <c r="D780">
        <v>13652</v>
      </c>
    </row>
    <row r="781" spans="1:4" x14ac:dyDescent="0.35">
      <c r="A781" s="2">
        <v>44621</v>
      </c>
      <c r="B781" t="s">
        <v>21</v>
      </c>
      <c r="C781" t="s">
        <v>36</v>
      </c>
      <c r="D781">
        <v>8586</v>
      </c>
    </row>
    <row r="782" spans="1:4" x14ac:dyDescent="0.35">
      <c r="A782" s="2">
        <v>44621</v>
      </c>
      <c r="B782" t="s">
        <v>21</v>
      </c>
      <c r="C782" t="s">
        <v>37</v>
      </c>
      <c r="D782">
        <v>6666</v>
      </c>
    </row>
    <row r="783" spans="1:4" x14ac:dyDescent="0.35">
      <c r="A783" s="2">
        <v>44621</v>
      </c>
      <c r="B783" t="s">
        <v>21</v>
      </c>
      <c r="C783" t="s">
        <v>38</v>
      </c>
      <c r="D783">
        <v>2232</v>
      </c>
    </row>
    <row r="784" spans="1:4" x14ac:dyDescent="0.35">
      <c r="A784" s="2">
        <v>44621</v>
      </c>
      <c r="B784" t="s">
        <v>21</v>
      </c>
      <c r="C784" t="s">
        <v>39</v>
      </c>
      <c r="D784">
        <v>2065</v>
      </c>
    </row>
    <row r="785" spans="1:4" x14ac:dyDescent="0.35">
      <c r="A785" s="2">
        <v>44621</v>
      </c>
      <c r="B785" t="s">
        <v>21</v>
      </c>
      <c r="C785" t="s">
        <v>22</v>
      </c>
      <c r="D785">
        <v>9143</v>
      </c>
    </row>
    <row r="786" spans="1:4" x14ac:dyDescent="0.35">
      <c r="A786" s="2">
        <v>44621</v>
      </c>
      <c r="B786" t="s">
        <v>21</v>
      </c>
      <c r="C786" t="s">
        <v>40</v>
      </c>
      <c r="D786">
        <v>2391</v>
      </c>
    </row>
    <row r="787" spans="1:4" x14ac:dyDescent="0.35">
      <c r="A787" s="2">
        <v>44621</v>
      </c>
      <c r="B787" t="s">
        <v>21</v>
      </c>
      <c r="C787" t="s">
        <v>41</v>
      </c>
      <c r="D787">
        <v>1413</v>
      </c>
    </row>
    <row r="788" spans="1:4" x14ac:dyDescent="0.35">
      <c r="A788" s="2">
        <v>44621</v>
      </c>
      <c r="B788" t="s">
        <v>21</v>
      </c>
      <c r="C788" t="s">
        <v>42</v>
      </c>
      <c r="D788">
        <v>855</v>
      </c>
    </row>
    <row r="789" spans="1:4" x14ac:dyDescent="0.35">
      <c r="A789" s="2">
        <v>44621</v>
      </c>
      <c r="B789" t="s">
        <v>21</v>
      </c>
      <c r="C789" t="s">
        <v>43</v>
      </c>
      <c r="D789">
        <v>1013</v>
      </c>
    </row>
    <row r="790" spans="1:4" x14ac:dyDescent="0.35">
      <c r="A790" s="2">
        <v>44621</v>
      </c>
      <c r="B790" t="s">
        <v>21</v>
      </c>
      <c r="C790" t="s">
        <v>44</v>
      </c>
      <c r="D790">
        <v>1052</v>
      </c>
    </row>
    <row r="791" spans="1:4" x14ac:dyDescent="0.35">
      <c r="A791" s="2">
        <v>44621</v>
      </c>
      <c r="B791" t="s">
        <v>21</v>
      </c>
      <c r="C791" t="s">
        <v>45</v>
      </c>
      <c r="D791">
        <v>5330</v>
      </c>
    </row>
    <row r="792" spans="1:4" x14ac:dyDescent="0.35">
      <c r="A792" s="2">
        <v>44986</v>
      </c>
      <c r="B792" t="s">
        <v>21</v>
      </c>
      <c r="C792" t="s">
        <v>22</v>
      </c>
      <c r="D792">
        <v>22398</v>
      </c>
    </row>
    <row r="793" spans="1:4" x14ac:dyDescent="0.35">
      <c r="A793" s="2">
        <v>44986</v>
      </c>
      <c r="B793" t="s">
        <v>21</v>
      </c>
      <c r="C793" t="s">
        <v>36</v>
      </c>
      <c r="D793">
        <v>4509</v>
      </c>
    </row>
    <row r="794" spans="1:4" x14ac:dyDescent="0.35">
      <c r="A794" s="2">
        <v>44986</v>
      </c>
      <c r="B794" t="s">
        <v>21</v>
      </c>
      <c r="C794" t="s">
        <v>35</v>
      </c>
      <c r="D794">
        <v>6661</v>
      </c>
    </row>
    <row r="795" spans="1:4" x14ac:dyDescent="0.35">
      <c r="A795" s="2">
        <v>44986</v>
      </c>
      <c r="B795" t="s">
        <v>21</v>
      </c>
      <c r="C795" t="s">
        <v>37</v>
      </c>
      <c r="D795">
        <v>9736</v>
      </c>
    </row>
    <row r="796" spans="1:4" x14ac:dyDescent="0.35">
      <c r="A796" s="2">
        <v>44986</v>
      </c>
      <c r="B796" t="s">
        <v>21</v>
      </c>
      <c r="C796" t="s">
        <v>40</v>
      </c>
      <c r="D796">
        <v>16896</v>
      </c>
    </row>
    <row r="797" spans="1:4" x14ac:dyDescent="0.35">
      <c r="A797" s="2">
        <v>44986</v>
      </c>
      <c r="B797" t="s">
        <v>21</v>
      </c>
      <c r="C797" t="s">
        <v>38</v>
      </c>
      <c r="D797">
        <v>12180</v>
      </c>
    </row>
    <row r="798" spans="1:4" x14ac:dyDescent="0.35">
      <c r="A798" s="2">
        <v>44986</v>
      </c>
      <c r="B798" t="s">
        <v>21</v>
      </c>
      <c r="C798" t="s">
        <v>42</v>
      </c>
      <c r="D798">
        <v>4552</v>
      </c>
    </row>
    <row r="799" spans="1:4" x14ac:dyDescent="0.35">
      <c r="A799" s="2">
        <v>44986</v>
      </c>
      <c r="B799" t="s">
        <v>21</v>
      </c>
      <c r="C799" t="s">
        <v>23</v>
      </c>
      <c r="D799">
        <v>1765</v>
      </c>
    </row>
    <row r="800" spans="1:4" x14ac:dyDescent="0.35">
      <c r="A800" s="2">
        <v>44986</v>
      </c>
      <c r="B800" t="s">
        <v>21</v>
      </c>
      <c r="C800" t="s">
        <v>41</v>
      </c>
      <c r="D800">
        <v>1140</v>
      </c>
    </row>
    <row r="801" spans="1:4" x14ac:dyDescent="0.35">
      <c r="A801" s="2">
        <v>44986</v>
      </c>
      <c r="B801" t="s">
        <v>21</v>
      </c>
      <c r="C801" t="s">
        <v>39</v>
      </c>
      <c r="D801">
        <v>584</v>
      </c>
    </row>
    <row r="802" spans="1:4" x14ac:dyDescent="0.35">
      <c r="A802" s="2">
        <v>44986</v>
      </c>
      <c r="B802" t="s">
        <v>21</v>
      </c>
      <c r="C802" t="s">
        <v>43</v>
      </c>
      <c r="D802">
        <v>446</v>
      </c>
    </row>
    <row r="803" spans="1:4" x14ac:dyDescent="0.35">
      <c r="A803" s="2">
        <v>44986</v>
      </c>
      <c r="B803" t="s">
        <v>21</v>
      </c>
      <c r="C803" t="s">
        <v>44</v>
      </c>
      <c r="D803">
        <v>350</v>
      </c>
    </row>
    <row r="804" spans="1:4" x14ac:dyDescent="0.35">
      <c r="A804" s="2">
        <v>44986</v>
      </c>
      <c r="B804" t="s">
        <v>21</v>
      </c>
      <c r="C804" t="s">
        <v>45</v>
      </c>
      <c r="D804">
        <v>5089</v>
      </c>
    </row>
    <row r="805" spans="1:4" x14ac:dyDescent="0.35">
      <c r="A805" s="2">
        <v>45352</v>
      </c>
      <c r="B805" t="s">
        <v>21</v>
      </c>
      <c r="C805" t="s">
        <v>22</v>
      </c>
      <c r="D805">
        <v>44630</v>
      </c>
    </row>
    <row r="806" spans="1:4" x14ac:dyDescent="0.35">
      <c r="A806" s="2">
        <v>45352</v>
      </c>
      <c r="B806" t="s">
        <v>21</v>
      </c>
      <c r="C806" t="s">
        <v>40</v>
      </c>
      <c r="D806">
        <v>26158</v>
      </c>
    </row>
    <row r="807" spans="1:4" x14ac:dyDescent="0.35">
      <c r="A807" s="2">
        <v>45352</v>
      </c>
      <c r="B807" t="s">
        <v>21</v>
      </c>
      <c r="C807" t="s">
        <v>38</v>
      </c>
      <c r="D807">
        <v>17012</v>
      </c>
    </row>
    <row r="808" spans="1:4" x14ac:dyDescent="0.35">
      <c r="A808" s="2">
        <v>45352</v>
      </c>
      <c r="B808" t="s">
        <v>21</v>
      </c>
      <c r="C808" t="s">
        <v>42</v>
      </c>
      <c r="D808">
        <v>17716</v>
      </c>
    </row>
    <row r="809" spans="1:4" x14ac:dyDescent="0.35">
      <c r="A809" s="2">
        <v>45352</v>
      </c>
      <c r="B809" t="s">
        <v>21</v>
      </c>
      <c r="C809" t="s">
        <v>37</v>
      </c>
      <c r="D809">
        <v>3108</v>
      </c>
    </row>
    <row r="810" spans="1:4" x14ac:dyDescent="0.35">
      <c r="A810" s="2">
        <v>45352</v>
      </c>
      <c r="B810" t="s">
        <v>21</v>
      </c>
      <c r="C810" t="s">
        <v>36</v>
      </c>
      <c r="D810">
        <v>673</v>
      </c>
    </row>
    <row r="811" spans="1:4" x14ac:dyDescent="0.35">
      <c r="A811" s="2">
        <v>45352</v>
      </c>
      <c r="B811" t="s">
        <v>21</v>
      </c>
      <c r="C811" t="s">
        <v>35</v>
      </c>
      <c r="D811">
        <v>316</v>
      </c>
    </row>
    <row r="812" spans="1:4" x14ac:dyDescent="0.35">
      <c r="A812" s="2">
        <v>45352</v>
      </c>
      <c r="B812" t="s">
        <v>21</v>
      </c>
      <c r="C812" t="s">
        <v>23</v>
      </c>
      <c r="D812">
        <v>1218</v>
      </c>
    </row>
    <row r="813" spans="1:4" x14ac:dyDescent="0.35">
      <c r="A813" s="2">
        <v>45352</v>
      </c>
      <c r="B813" t="s">
        <v>21</v>
      </c>
      <c r="C813" t="s">
        <v>46</v>
      </c>
      <c r="D813">
        <v>3070</v>
      </c>
    </row>
    <row r="814" spans="1:4" x14ac:dyDescent="0.35">
      <c r="A814" s="2">
        <v>45352</v>
      </c>
      <c r="B814" t="s">
        <v>21</v>
      </c>
      <c r="C814" t="s">
        <v>47</v>
      </c>
      <c r="D814">
        <v>625</v>
      </c>
    </row>
    <row r="815" spans="1:4" x14ac:dyDescent="0.35">
      <c r="A815" s="2">
        <v>45352</v>
      </c>
      <c r="B815" t="s">
        <v>21</v>
      </c>
      <c r="C815" t="s">
        <v>48</v>
      </c>
      <c r="D815">
        <v>3915</v>
      </c>
    </row>
    <row r="816" spans="1:4" x14ac:dyDescent="0.35">
      <c r="A816" s="2">
        <v>45352</v>
      </c>
      <c r="B816" t="s">
        <v>21</v>
      </c>
      <c r="C816" t="s">
        <v>41</v>
      </c>
      <c r="D816">
        <v>585</v>
      </c>
    </row>
    <row r="817" spans="1:4" x14ac:dyDescent="0.35">
      <c r="A817" s="2">
        <v>45352</v>
      </c>
      <c r="B817" t="s">
        <v>21</v>
      </c>
      <c r="C817" t="s">
        <v>45</v>
      </c>
      <c r="D817">
        <v>10579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D3609-3DEB-49DA-9E32-63EA999C3144}">
  <dimension ref="A1:D37"/>
  <sheetViews>
    <sheetView workbookViewId="0">
      <selection activeCell="E7" sqref="E7"/>
    </sheetView>
  </sheetViews>
  <sheetFormatPr defaultRowHeight="14.5" x14ac:dyDescent="0.35"/>
  <cols>
    <col min="1" max="1" width="10.08984375" bestFit="1" customWidth="1"/>
    <col min="2" max="2" width="11.90625" bestFit="1" customWidth="1"/>
    <col min="3" max="3" width="9.453125" bestFit="1" customWidth="1"/>
  </cols>
  <sheetData>
    <row r="1" spans="1:4" x14ac:dyDescent="0.35">
      <c r="A1" t="s">
        <v>11</v>
      </c>
      <c r="B1" t="s">
        <v>12</v>
      </c>
      <c r="C1" t="s">
        <v>13</v>
      </c>
      <c r="D1" t="s">
        <v>127</v>
      </c>
    </row>
    <row r="2" spans="1:4" x14ac:dyDescent="0.35">
      <c r="A2" s="2">
        <v>44287</v>
      </c>
      <c r="B2">
        <v>2022</v>
      </c>
      <c r="C2" t="s">
        <v>14</v>
      </c>
      <c r="D2" t="str">
        <f>TEXT(dim_date[[#This Row],[date]],"mmm")</f>
        <v>Apr</v>
      </c>
    </row>
    <row r="3" spans="1:4" x14ac:dyDescent="0.35">
      <c r="A3" s="2">
        <v>44317</v>
      </c>
      <c r="B3">
        <v>2022</v>
      </c>
      <c r="C3" t="s">
        <v>14</v>
      </c>
      <c r="D3" t="str">
        <f>TEXT(dim_date[[#This Row],[date]],"mmm")</f>
        <v>May</v>
      </c>
    </row>
    <row r="4" spans="1:4" x14ac:dyDescent="0.35">
      <c r="A4" s="2">
        <v>44348</v>
      </c>
      <c r="B4">
        <v>2022</v>
      </c>
      <c r="C4" t="s">
        <v>14</v>
      </c>
      <c r="D4" t="str">
        <f>TEXT(dim_date[[#This Row],[date]],"mmm")</f>
        <v>Jun</v>
      </c>
    </row>
    <row r="5" spans="1:4" x14ac:dyDescent="0.35">
      <c r="A5" s="2">
        <v>44378</v>
      </c>
      <c r="B5">
        <v>2022</v>
      </c>
      <c r="C5" t="s">
        <v>15</v>
      </c>
      <c r="D5" t="str">
        <f>TEXT(dim_date[[#This Row],[date]],"mmm")</f>
        <v>Jul</v>
      </c>
    </row>
    <row r="6" spans="1:4" x14ac:dyDescent="0.35">
      <c r="A6" s="2">
        <v>44409</v>
      </c>
      <c r="B6">
        <v>2022</v>
      </c>
      <c r="C6" t="s">
        <v>15</v>
      </c>
      <c r="D6" t="str">
        <f>TEXT(dim_date[[#This Row],[date]],"mmm")</f>
        <v>Aug</v>
      </c>
    </row>
    <row r="7" spans="1:4" x14ac:dyDescent="0.35">
      <c r="A7" s="2">
        <v>44440</v>
      </c>
      <c r="B7">
        <v>2022</v>
      </c>
      <c r="C7" t="s">
        <v>15</v>
      </c>
      <c r="D7" t="str">
        <f>TEXT(dim_date[[#This Row],[date]],"mmm")</f>
        <v>Sep</v>
      </c>
    </row>
    <row r="8" spans="1:4" x14ac:dyDescent="0.35">
      <c r="A8" s="2">
        <v>44470</v>
      </c>
      <c r="B8">
        <v>2022</v>
      </c>
      <c r="C8" t="s">
        <v>16</v>
      </c>
      <c r="D8" t="str">
        <f>TEXT(dim_date[[#This Row],[date]],"mmm")</f>
        <v>Oct</v>
      </c>
    </row>
    <row r="9" spans="1:4" x14ac:dyDescent="0.35">
      <c r="A9" s="2">
        <v>44501</v>
      </c>
      <c r="B9">
        <v>2022</v>
      </c>
      <c r="C9" t="s">
        <v>16</v>
      </c>
      <c r="D9" t="str">
        <f>TEXT(dim_date[[#This Row],[date]],"mmm")</f>
        <v>Nov</v>
      </c>
    </row>
    <row r="10" spans="1:4" x14ac:dyDescent="0.35">
      <c r="A10" s="2">
        <v>44531</v>
      </c>
      <c r="B10">
        <v>2022</v>
      </c>
      <c r="C10" t="s">
        <v>16</v>
      </c>
      <c r="D10" t="str">
        <f>TEXT(dim_date[[#This Row],[date]],"mmm")</f>
        <v>Dec</v>
      </c>
    </row>
    <row r="11" spans="1:4" x14ac:dyDescent="0.35">
      <c r="A11" s="2">
        <v>44562</v>
      </c>
      <c r="B11">
        <v>2022</v>
      </c>
      <c r="C11" t="s">
        <v>17</v>
      </c>
      <c r="D11" t="str">
        <f>TEXT(dim_date[[#This Row],[date]],"mmm")</f>
        <v>Jan</v>
      </c>
    </row>
    <row r="12" spans="1:4" x14ac:dyDescent="0.35">
      <c r="A12" s="2">
        <v>44593</v>
      </c>
      <c r="B12">
        <v>2022</v>
      </c>
      <c r="C12" t="s">
        <v>17</v>
      </c>
      <c r="D12" t="str">
        <f>TEXT(dim_date[[#This Row],[date]],"mmm")</f>
        <v>Feb</v>
      </c>
    </row>
    <row r="13" spans="1:4" x14ac:dyDescent="0.35">
      <c r="A13" s="2">
        <v>44621</v>
      </c>
      <c r="B13">
        <v>2022</v>
      </c>
      <c r="C13" t="s">
        <v>17</v>
      </c>
      <c r="D13" t="str">
        <f>TEXT(dim_date[[#This Row],[date]],"mmm")</f>
        <v>Mar</v>
      </c>
    </row>
    <row r="14" spans="1:4" x14ac:dyDescent="0.35">
      <c r="A14" s="2">
        <v>44652</v>
      </c>
      <c r="B14">
        <v>2023</v>
      </c>
      <c r="C14" t="s">
        <v>14</v>
      </c>
      <c r="D14" t="str">
        <f>TEXT(dim_date[[#This Row],[date]],"mmm")</f>
        <v>Apr</v>
      </c>
    </row>
    <row r="15" spans="1:4" x14ac:dyDescent="0.35">
      <c r="A15" s="2">
        <v>44682</v>
      </c>
      <c r="B15">
        <v>2023</v>
      </c>
      <c r="C15" t="s">
        <v>14</v>
      </c>
      <c r="D15" t="str">
        <f>TEXT(dim_date[[#This Row],[date]],"mmm")</f>
        <v>May</v>
      </c>
    </row>
    <row r="16" spans="1:4" x14ac:dyDescent="0.35">
      <c r="A16" s="2">
        <v>44713</v>
      </c>
      <c r="B16">
        <v>2023</v>
      </c>
      <c r="C16" t="s">
        <v>14</v>
      </c>
      <c r="D16" t="str">
        <f>TEXT(dim_date[[#This Row],[date]],"mmm")</f>
        <v>Jun</v>
      </c>
    </row>
    <row r="17" spans="1:4" x14ac:dyDescent="0.35">
      <c r="A17" s="2">
        <v>44743</v>
      </c>
      <c r="B17">
        <v>2023</v>
      </c>
      <c r="C17" t="s">
        <v>15</v>
      </c>
      <c r="D17" t="str">
        <f>TEXT(dim_date[[#This Row],[date]],"mmm")</f>
        <v>Jul</v>
      </c>
    </row>
    <row r="18" spans="1:4" x14ac:dyDescent="0.35">
      <c r="A18" s="2">
        <v>44774</v>
      </c>
      <c r="B18">
        <v>2023</v>
      </c>
      <c r="C18" t="s">
        <v>15</v>
      </c>
      <c r="D18" t="str">
        <f>TEXT(dim_date[[#This Row],[date]],"mmm")</f>
        <v>Aug</v>
      </c>
    </row>
    <row r="19" spans="1:4" x14ac:dyDescent="0.35">
      <c r="A19" s="2">
        <v>44805</v>
      </c>
      <c r="B19">
        <v>2023</v>
      </c>
      <c r="C19" t="s">
        <v>15</v>
      </c>
      <c r="D19" t="str">
        <f>TEXT(dim_date[[#This Row],[date]],"mmm")</f>
        <v>Sep</v>
      </c>
    </row>
    <row r="20" spans="1:4" x14ac:dyDescent="0.35">
      <c r="A20" s="2">
        <v>44835</v>
      </c>
      <c r="B20">
        <v>2023</v>
      </c>
      <c r="C20" t="s">
        <v>16</v>
      </c>
      <c r="D20" t="str">
        <f>TEXT(dim_date[[#This Row],[date]],"mmm")</f>
        <v>Oct</v>
      </c>
    </row>
    <row r="21" spans="1:4" x14ac:dyDescent="0.35">
      <c r="A21" s="2">
        <v>44866</v>
      </c>
      <c r="B21">
        <v>2023</v>
      </c>
      <c r="C21" t="s">
        <v>16</v>
      </c>
      <c r="D21" t="str">
        <f>TEXT(dim_date[[#This Row],[date]],"mmm")</f>
        <v>Nov</v>
      </c>
    </row>
    <row r="22" spans="1:4" x14ac:dyDescent="0.35">
      <c r="A22" s="2">
        <v>44896</v>
      </c>
      <c r="B22">
        <v>2023</v>
      </c>
      <c r="C22" t="s">
        <v>16</v>
      </c>
      <c r="D22" t="str">
        <f>TEXT(dim_date[[#This Row],[date]],"mmm")</f>
        <v>Dec</v>
      </c>
    </row>
    <row r="23" spans="1:4" x14ac:dyDescent="0.35">
      <c r="A23" s="2">
        <v>44927</v>
      </c>
      <c r="B23">
        <v>2023</v>
      </c>
      <c r="C23" t="s">
        <v>17</v>
      </c>
      <c r="D23" t="str">
        <f>TEXT(dim_date[[#This Row],[date]],"mmm")</f>
        <v>Jan</v>
      </c>
    </row>
    <row r="24" spans="1:4" x14ac:dyDescent="0.35">
      <c r="A24" s="2">
        <v>44958</v>
      </c>
      <c r="B24">
        <v>2023</v>
      </c>
      <c r="C24" t="s">
        <v>17</v>
      </c>
      <c r="D24" t="str">
        <f>TEXT(dim_date[[#This Row],[date]],"mmm")</f>
        <v>Feb</v>
      </c>
    </row>
    <row r="25" spans="1:4" x14ac:dyDescent="0.35">
      <c r="A25" s="2">
        <v>44986</v>
      </c>
      <c r="B25">
        <v>2023</v>
      </c>
      <c r="C25" t="s">
        <v>17</v>
      </c>
      <c r="D25" t="str">
        <f>TEXT(dim_date[[#This Row],[date]],"mmm")</f>
        <v>Mar</v>
      </c>
    </row>
    <row r="26" spans="1:4" x14ac:dyDescent="0.35">
      <c r="A26" s="2">
        <v>45017</v>
      </c>
      <c r="B26">
        <v>2024</v>
      </c>
      <c r="C26" t="s">
        <v>14</v>
      </c>
      <c r="D26" t="str">
        <f>TEXT(dim_date[[#This Row],[date]],"mmm")</f>
        <v>Apr</v>
      </c>
    </row>
    <row r="27" spans="1:4" x14ac:dyDescent="0.35">
      <c r="A27" s="2">
        <v>45047</v>
      </c>
      <c r="B27">
        <v>2024</v>
      </c>
      <c r="C27" t="s">
        <v>14</v>
      </c>
      <c r="D27" t="str">
        <f>TEXT(dim_date[[#This Row],[date]],"mmm")</f>
        <v>May</v>
      </c>
    </row>
    <row r="28" spans="1:4" x14ac:dyDescent="0.35">
      <c r="A28" s="2">
        <v>45078</v>
      </c>
      <c r="B28">
        <v>2024</v>
      </c>
      <c r="C28" t="s">
        <v>14</v>
      </c>
      <c r="D28" t="str">
        <f>TEXT(dim_date[[#This Row],[date]],"mmm")</f>
        <v>Jun</v>
      </c>
    </row>
    <row r="29" spans="1:4" x14ac:dyDescent="0.35">
      <c r="A29" s="2">
        <v>45108</v>
      </c>
      <c r="B29">
        <v>2024</v>
      </c>
      <c r="C29" t="s">
        <v>15</v>
      </c>
      <c r="D29" t="str">
        <f>TEXT(dim_date[[#This Row],[date]],"mmm")</f>
        <v>Jul</v>
      </c>
    </row>
    <row r="30" spans="1:4" x14ac:dyDescent="0.35">
      <c r="A30" s="2">
        <v>45139</v>
      </c>
      <c r="B30">
        <v>2024</v>
      </c>
      <c r="C30" t="s">
        <v>15</v>
      </c>
      <c r="D30" t="str">
        <f>TEXT(dim_date[[#This Row],[date]],"mmm")</f>
        <v>Aug</v>
      </c>
    </row>
    <row r="31" spans="1:4" x14ac:dyDescent="0.35">
      <c r="A31" s="2">
        <v>45170</v>
      </c>
      <c r="B31">
        <v>2024</v>
      </c>
      <c r="C31" t="s">
        <v>15</v>
      </c>
      <c r="D31" t="str">
        <f>TEXT(dim_date[[#This Row],[date]],"mmm")</f>
        <v>Sep</v>
      </c>
    </row>
    <row r="32" spans="1:4" x14ac:dyDescent="0.35">
      <c r="A32" s="2">
        <v>45200</v>
      </c>
      <c r="B32">
        <v>2024</v>
      </c>
      <c r="C32" t="s">
        <v>16</v>
      </c>
      <c r="D32" t="str">
        <f>TEXT(dim_date[[#This Row],[date]],"mmm")</f>
        <v>Oct</v>
      </c>
    </row>
    <row r="33" spans="1:4" x14ac:dyDescent="0.35">
      <c r="A33" s="2">
        <v>45231</v>
      </c>
      <c r="B33">
        <v>2024</v>
      </c>
      <c r="C33" t="s">
        <v>16</v>
      </c>
      <c r="D33" t="str">
        <f>TEXT(dim_date[[#This Row],[date]],"mmm")</f>
        <v>Nov</v>
      </c>
    </row>
    <row r="34" spans="1:4" x14ac:dyDescent="0.35">
      <c r="A34" s="2">
        <v>45261</v>
      </c>
      <c r="B34">
        <v>2024</v>
      </c>
      <c r="C34" t="s">
        <v>16</v>
      </c>
      <c r="D34" t="str">
        <f>TEXT(dim_date[[#This Row],[date]],"mmm")</f>
        <v>Dec</v>
      </c>
    </row>
    <row r="35" spans="1:4" x14ac:dyDescent="0.35">
      <c r="A35" s="2">
        <v>45292</v>
      </c>
      <c r="B35">
        <v>2024</v>
      </c>
      <c r="C35" t="s">
        <v>17</v>
      </c>
      <c r="D35" t="str">
        <f>TEXT(dim_date[[#This Row],[date]],"mmm")</f>
        <v>Jan</v>
      </c>
    </row>
    <row r="36" spans="1:4" x14ac:dyDescent="0.35">
      <c r="A36" s="2">
        <v>45323</v>
      </c>
      <c r="B36">
        <v>2024</v>
      </c>
      <c r="C36" t="s">
        <v>17</v>
      </c>
      <c r="D36" t="str">
        <f>TEXT(dim_date[[#This Row],[date]],"mmm")</f>
        <v>Feb</v>
      </c>
    </row>
    <row r="37" spans="1:4" x14ac:dyDescent="0.35">
      <c r="A37" s="2">
        <v>45352</v>
      </c>
      <c r="B37">
        <v>2024</v>
      </c>
      <c r="C37" t="s">
        <v>17</v>
      </c>
      <c r="D37" t="str">
        <f>TEXT(dim_date[[#This Row],[date]],"mmm")</f>
        <v>Mar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75620-1D4F-4629-9A02-BCDD60ABEE99}">
  <dimension ref="A1:F4"/>
  <sheetViews>
    <sheetView workbookViewId="0"/>
  </sheetViews>
  <sheetFormatPr defaultRowHeight="14.5" x14ac:dyDescent="0.35"/>
  <cols>
    <col min="1" max="1" width="32.1796875" bestFit="1" customWidth="1"/>
    <col min="2" max="2" width="11.26953125" bestFit="1" customWidth="1"/>
    <col min="3" max="5" width="15.1796875" bestFit="1" customWidth="1"/>
    <col min="6" max="6" width="68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46109.469858495373</v>
      </c>
      <c r="D2" s="1">
        <v>46074.780527569441</v>
      </c>
      <c r="E2" s="1">
        <v>45492.558078703703</v>
      </c>
      <c r="F2" t="s">
        <v>8</v>
      </c>
    </row>
    <row r="3" spans="1:6" x14ac:dyDescent="0.35">
      <c r="A3" t="s">
        <v>9</v>
      </c>
      <c r="B3" t="s">
        <v>7</v>
      </c>
      <c r="C3" s="1">
        <v>46109.457571643521</v>
      </c>
      <c r="D3" s="1">
        <v>46074.780527708332</v>
      </c>
      <c r="E3" s="1">
        <v>45492.55810185185</v>
      </c>
      <c r="F3" t="s">
        <v>8</v>
      </c>
    </row>
    <row r="4" spans="1:6" x14ac:dyDescent="0.35">
      <c r="A4" t="s">
        <v>10</v>
      </c>
      <c r="B4" t="s">
        <v>7</v>
      </c>
      <c r="C4" s="1">
        <v>46109.471201446759</v>
      </c>
      <c r="D4" s="1">
        <v>46074.780527708332</v>
      </c>
      <c r="E4" s="1">
        <v>45492.55810185185</v>
      </c>
      <c r="F4" t="s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70528C84-6F48-48CA-B7A7-D2A9AA2B22A8}">
  <ds:schemaRefs/>
</ds:datastoreItem>
</file>

<file path=customXml/itemProps2.xml><?xml version="1.0" encoding="utf-8"?>
<ds:datastoreItem xmlns:ds="http://schemas.openxmlformats.org/officeDocument/2006/customXml" ds:itemID="{9601A96B-F29C-4396-A13B-514FB1329D97}">
  <ds:schemaRefs/>
</ds:datastoreItem>
</file>

<file path=customXml/itemProps3.xml><?xml version="1.0" encoding="utf-8"?>
<ds:datastoreItem xmlns:ds="http://schemas.openxmlformats.org/officeDocument/2006/customXml" ds:itemID="{AB72FA9A-347E-44D7-B382-311863F877D2}">
  <ds:schemaRefs/>
</ds:datastoreItem>
</file>

<file path=customXml/itemProps4.xml><?xml version="1.0" encoding="utf-8"?>
<ds:datastoreItem xmlns:ds="http://schemas.openxmlformats.org/officeDocument/2006/customXml" ds:itemID="{C24B90C0-6A35-468E-B804-975CFA7CD3BD}">
  <ds:schemaRefs/>
</ds:datastoreItem>
</file>

<file path=customXml/itemProps5.xml><?xml version="1.0" encoding="utf-8"?>
<ds:datastoreItem xmlns:ds="http://schemas.openxmlformats.org/officeDocument/2006/customXml" ds:itemID="{3B796CF3-B70A-4685-8226-9B1455B49AB0}">
  <ds:schemaRefs/>
</ds:datastoreItem>
</file>

<file path=customXml/itemProps6.xml><?xml version="1.0" encoding="utf-8"?>
<ds:datastoreItem xmlns:ds="http://schemas.openxmlformats.org/officeDocument/2006/customXml" ds:itemID="{8D7BFDA2-9F73-49F8-A5EA-CE20086FAF61}">
  <ds:schemaRefs/>
</ds:datastoreItem>
</file>

<file path=customXml/itemProps7.xml><?xml version="1.0" encoding="utf-8"?>
<ds:datastoreItem xmlns:ds="http://schemas.openxmlformats.org/officeDocument/2006/customXml" ds:itemID="{18FC5520-CF99-492E-B057-39244D7DB58E}">
  <ds:schemaRefs/>
</ds:datastoreItem>
</file>

<file path=customXml/itemProps8.xml><?xml version="1.0" encoding="utf-8"?>
<ds:datastoreItem xmlns:ds="http://schemas.openxmlformats.org/officeDocument/2006/customXml" ds:itemID="{D051D66C-AD98-43D4-9D93-8FA11F59C67D}">
  <ds:schemaRefs/>
</ds:datastoreItem>
</file>

<file path=customXml/itemProps9.xml><?xml version="1.0" encoding="utf-8"?>
<ds:datastoreItem xmlns:ds="http://schemas.openxmlformats.org/officeDocument/2006/customXml" ds:itemID="{6AADAAE8-CE91-4E1B-A463-F436D7F1A894}">
  <ds:schemaRefs/>
</ds:datastoreItem>
</file>

<file path=customXml/itemProps10.xml><?xml version="1.0" encoding="utf-8"?>
<ds:datastoreItem xmlns:ds="http://schemas.openxmlformats.org/officeDocument/2006/customXml" ds:itemID="{0B6E82A0-2227-4612-B3FD-AC610280E62B}">
  <ds:schemaRefs/>
</ds:datastoreItem>
</file>

<file path=customXml/itemProps11.xml><?xml version="1.0" encoding="utf-8"?>
<ds:datastoreItem xmlns:ds="http://schemas.openxmlformats.org/officeDocument/2006/customXml" ds:itemID="{92AA5D85-AC8F-49EB-8CDA-2DDA4684BC86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95A90B29-4839-40BC-B7D6-5894845806A0}">
  <ds:schemaRefs/>
</ds:datastoreItem>
</file>

<file path=customXml/itemProps13.xml><?xml version="1.0" encoding="utf-8"?>
<ds:datastoreItem xmlns:ds="http://schemas.openxmlformats.org/officeDocument/2006/customXml" ds:itemID="{4902559A-F2DF-46C4-A4D2-CDF3748B6E28}">
  <ds:schemaRefs/>
</ds:datastoreItem>
</file>

<file path=customXml/itemProps14.xml><?xml version="1.0" encoding="utf-8"?>
<ds:datastoreItem xmlns:ds="http://schemas.openxmlformats.org/officeDocument/2006/customXml" ds:itemID="{07E44D6A-2684-4EF3-A57E-492E6A64EED6}">
  <ds:schemaRefs/>
</ds:datastoreItem>
</file>

<file path=customXml/itemProps15.xml><?xml version="1.0" encoding="utf-8"?>
<ds:datastoreItem xmlns:ds="http://schemas.openxmlformats.org/officeDocument/2006/customXml" ds:itemID="{578B22CF-C814-4E70-B7AA-C7C5A521BA34}">
  <ds:schemaRefs/>
</ds:datastoreItem>
</file>

<file path=customXml/itemProps16.xml><?xml version="1.0" encoding="utf-8"?>
<ds:datastoreItem xmlns:ds="http://schemas.openxmlformats.org/officeDocument/2006/customXml" ds:itemID="{8808C8EA-6D0B-492E-978B-31D7D3616D47}">
  <ds:schemaRefs/>
</ds:datastoreItem>
</file>

<file path=customXml/itemProps17.xml><?xml version="1.0" encoding="utf-8"?>
<ds:datastoreItem xmlns:ds="http://schemas.openxmlformats.org/officeDocument/2006/customXml" ds:itemID="{7D28D2CB-D6C7-4B66-BF5D-7A32F21C9531}">
  <ds:schemaRefs/>
</ds:datastoreItem>
</file>

<file path=customXml/itemProps18.xml><?xml version="1.0" encoding="utf-8"?>
<ds:datastoreItem xmlns:ds="http://schemas.openxmlformats.org/officeDocument/2006/customXml" ds:itemID="{47C99EC5-8191-487C-B168-5BE0157AF0EA}">
  <ds:schemaRefs/>
</ds:datastoreItem>
</file>

<file path=customXml/itemProps19.xml><?xml version="1.0" encoding="utf-8"?>
<ds:datastoreItem xmlns:ds="http://schemas.openxmlformats.org/officeDocument/2006/customXml" ds:itemID="{64CCB382-709F-477F-862F-77F99790241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Q1</vt:lpstr>
      <vt:lpstr>Q1.Waste</vt:lpstr>
      <vt:lpstr>Q2</vt:lpstr>
      <vt:lpstr>Q2.Waste</vt:lpstr>
      <vt:lpstr>Q3</vt:lpstr>
      <vt:lpstr>Q3.Waste</vt:lpstr>
      <vt:lpstr>Q4</vt:lpstr>
      <vt:lpstr>Q4.Waste</vt:lpstr>
      <vt:lpstr>Q5</vt:lpstr>
      <vt:lpstr>Q5.Waste</vt:lpstr>
      <vt:lpstr>Q6</vt:lpstr>
      <vt:lpstr>Q6.Waste</vt:lpstr>
      <vt:lpstr>Q7</vt:lpstr>
      <vt:lpstr>Q7.Waste</vt:lpstr>
      <vt:lpstr>Q8</vt:lpstr>
      <vt:lpstr>Q8.Waste</vt:lpstr>
      <vt:lpstr>Q9</vt:lpstr>
      <vt:lpstr>Q9.Waste</vt:lpstr>
      <vt:lpstr>Q10</vt:lpstr>
      <vt:lpstr>Q10.Waste</vt:lpstr>
      <vt:lpstr>DashBoard</vt:lpstr>
      <vt:lpstr>KPIs</vt:lpstr>
      <vt:lpstr>electric_vehicle_sales_by_state</vt:lpstr>
      <vt:lpstr>electric_vehicle_sales_by_maker</vt:lpstr>
      <vt:lpstr>dim_date</vt:lpstr>
      <vt:lpstr>datasets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Patange</dc:creator>
  <cp:lastModifiedBy>Harshal Patange</cp:lastModifiedBy>
  <dcterms:created xsi:type="dcterms:W3CDTF">2026-03-28T05:45:40Z</dcterms:created>
  <dcterms:modified xsi:type="dcterms:W3CDTF">2026-05-21T13:03:19Z</dcterms:modified>
</cp:coreProperties>
</file>